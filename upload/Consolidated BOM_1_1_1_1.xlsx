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OPS\Shared\SupplyChain\CALCULATOR\"/>
    </mc:Choice>
  </mc:AlternateContent>
  <bookViews>
    <workbookView xWindow="-110" yWindow="-110" windowWidth="19420" windowHeight="10420"/>
  </bookViews>
  <sheets>
    <sheet name="Aux" sheetId="1" r:id="rId1"/>
    <sheet name="Metal Connectors" sheetId="3" r:id="rId2"/>
    <sheet name="Mechanical " sheetId="2" r:id="rId3"/>
    <sheet name="Assemblies" sheetId="4" r:id="rId4"/>
    <sheet name="SMD Components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1" l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O71" i="1"/>
  <c r="F37" i="3"/>
  <c r="O3" i="1" l="1"/>
  <c r="O68" i="1" l="1"/>
  <c r="P67" i="1"/>
  <c r="N71" i="1"/>
  <c r="N68" i="1"/>
  <c r="N69" i="1"/>
  <c r="N70" i="1"/>
  <c r="N67" i="1"/>
  <c r="N16" i="1"/>
  <c r="N17" i="1"/>
  <c r="N18" i="1"/>
  <c r="N19" i="1"/>
  <c r="N20" i="1"/>
  <c r="N21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14" i="1"/>
  <c r="N15" i="1"/>
  <c r="N4" i="1"/>
  <c r="N5" i="1"/>
  <c r="N6" i="1"/>
  <c r="N7" i="1"/>
  <c r="N8" i="1"/>
  <c r="N9" i="1"/>
  <c r="N10" i="1"/>
  <c r="N11" i="1"/>
  <c r="N12" i="1"/>
  <c r="N13" i="1"/>
  <c r="N3" i="1"/>
  <c r="M3" i="1" l="1"/>
  <c r="F35" i="3" l="1"/>
  <c r="F36" i="3"/>
  <c r="O63" i="1"/>
  <c r="O64" i="1"/>
  <c r="O57" i="1"/>
  <c r="O50" i="1"/>
  <c r="O53" i="1"/>
  <c r="O46" i="1"/>
  <c r="O61" i="1"/>
  <c r="O60" i="1"/>
  <c r="O58" i="1"/>
  <c r="K17" i="2" l="1"/>
  <c r="O69" i="1" l="1"/>
  <c r="O45" i="1"/>
  <c r="O44" i="1"/>
  <c r="O19" i="1"/>
  <c r="O18" i="1"/>
  <c r="O29" i="1"/>
  <c r="O70" i="1" l="1"/>
  <c r="F25" i="3" l="1"/>
  <c r="F39" i="3"/>
  <c r="F45" i="3"/>
  <c r="F14" i="3"/>
  <c r="F24" i="3" l="1"/>
  <c r="F42" i="3"/>
  <c r="F17" i="3"/>
  <c r="F34" i="3"/>
  <c r="F29" i="3"/>
  <c r="F33" i="3"/>
  <c r="F16" i="3"/>
  <c r="O24" i="2" l="1"/>
  <c r="O7" i="2"/>
  <c r="F44" i="3" l="1"/>
  <c r="F26" i="3"/>
  <c r="F20" i="3"/>
  <c r="P18" i="2" l="1"/>
  <c r="P9" i="2"/>
  <c r="N19" i="2" l="1"/>
  <c r="N20" i="2"/>
  <c r="N21" i="2"/>
  <c r="N22" i="2"/>
  <c r="N23" i="2"/>
  <c r="N24" i="2"/>
  <c r="N25" i="2"/>
  <c r="N26" i="2"/>
  <c r="N17" i="2"/>
  <c r="P17" i="2" s="1"/>
  <c r="N18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3" i="2"/>
  <c r="M18" i="2"/>
  <c r="M9" i="2" l="1"/>
  <c r="M6" i="2"/>
  <c r="M17" i="2"/>
  <c r="O20" i="2"/>
  <c r="O19" i="2"/>
  <c r="F19" i="3"/>
  <c r="F31" i="3" l="1"/>
  <c r="F30" i="3"/>
  <c r="F47" i="3"/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3" i="5"/>
  <c r="O51" i="1" l="1"/>
  <c r="O35" i="1"/>
  <c r="O24" i="1"/>
  <c r="O21" i="1"/>
  <c r="O20" i="1"/>
  <c r="O30" i="1"/>
  <c r="P32" i="1"/>
  <c r="K12" i="2"/>
  <c r="K13" i="2"/>
  <c r="K14" i="2"/>
  <c r="K15" i="2"/>
  <c r="K16" i="2"/>
  <c r="K19" i="2"/>
  <c r="K20" i="2"/>
  <c r="K21" i="2"/>
  <c r="K22" i="2"/>
  <c r="K23" i="2"/>
  <c r="K24" i="2"/>
  <c r="K25" i="2"/>
  <c r="K26" i="2"/>
  <c r="K10" i="2"/>
  <c r="K8" i="2"/>
  <c r="P8" i="2" s="1"/>
  <c r="K4" i="2"/>
  <c r="K5" i="2"/>
  <c r="K6" i="2"/>
  <c r="K7" i="2"/>
  <c r="K3" i="2"/>
  <c r="J11" i="2"/>
  <c r="K11" i="2" s="1"/>
  <c r="P11" i="2" s="1"/>
  <c r="O27" i="1" l="1"/>
  <c r="P27" i="1" l="1"/>
  <c r="O26" i="2"/>
  <c r="O25" i="2"/>
  <c r="O23" i="2"/>
  <c r="O21" i="2"/>
  <c r="O16" i="2"/>
  <c r="O15" i="2"/>
  <c r="O14" i="2"/>
  <c r="O13" i="2"/>
  <c r="O12" i="2"/>
  <c r="O10" i="2"/>
  <c r="O6" i="2"/>
  <c r="O5" i="2"/>
  <c r="O4" i="2"/>
  <c r="O3" i="2"/>
  <c r="E12" i="4"/>
  <c r="E13" i="4"/>
  <c r="E17" i="4"/>
  <c r="E18" i="4"/>
  <c r="E16" i="4"/>
  <c r="O10" i="1"/>
  <c r="F6" i="3"/>
  <c r="F5" i="3"/>
  <c r="F4" i="3"/>
  <c r="F3" i="3"/>
  <c r="G107" i="5" l="1"/>
  <c r="H44" i="5"/>
  <c r="G44" i="5"/>
  <c r="I34" i="5"/>
  <c r="F49" i="3" l="1"/>
  <c r="F48" i="3"/>
  <c r="F46" i="3"/>
  <c r="F43" i="3"/>
  <c r="F41" i="3"/>
  <c r="F32" i="3"/>
  <c r="F21" i="3"/>
  <c r="E49" i="3"/>
  <c r="E48" i="3"/>
  <c r="E46" i="3"/>
  <c r="E43" i="3"/>
  <c r="E41" i="3"/>
  <c r="E37" i="3"/>
  <c r="E34" i="3"/>
  <c r="E33" i="3"/>
  <c r="E32" i="3"/>
  <c r="E29" i="3"/>
  <c r="E21" i="3"/>
  <c r="E19" i="3"/>
  <c r="E17" i="3"/>
  <c r="E16" i="3"/>
  <c r="I7" i="5" l="1"/>
  <c r="O22" i="2" l="1"/>
  <c r="O55" i="1"/>
  <c r="G39" i="5" l="1"/>
  <c r="H34" i="5"/>
  <c r="E15" i="4" l="1"/>
  <c r="P62" i="1" l="1"/>
  <c r="O13" i="1"/>
  <c r="O11" i="1"/>
  <c r="P24" i="1" l="1"/>
  <c r="P16" i="1"/>
  <c r="P17" i="1"/>
  <c r="P20" i="1"/>
  <c r="P21" i="1"/>
  <c r="P31" i="1"/>
  <c r="P7" i="1"/>
  <c r="H64" i="1"/>
  <c r="P30" i="1"/>
  <c r="G4" i="2" l="1"/>
  <c r="G5" i="2"/>
  <c r="G6" i="2"/>
  <c r="G7" i="2"/>
  <c r="G10" i="2"/>
  <c r="G12" i="2"/>
  <c r="G13" i="2"/>
  <c r="G14" i="2"/>
  <c r="G15" i="2"/>
  <c r="G16" i="2"/>
  <c r="G19" i="2"/>
  <c r="G20" i="2"/>
  <c r="G21" i="2"/>
  <c r="G22" i="2"/>
  <c r="G23" i="2"/>
  <c r="G24" i="2"/>
  <c r="G25" i="2"/>
  <c r="G26" i="2"/>
  <c r="G3" i="2"/>
  <c r="I4" i="2"/>
  <c r="I5" i="2"/>
  <c r="I6" i="2"/>
  <c r="I7" i="2"/>
  <c r="I10" i="2"/>
  <c r="P10" i="2" s="1"/>
  <c r="I12" i="2"/>
  <c r="I13" i="2"/>
  <c r="I14" i="2"/>
  <c r="I15" i="2"/>
  <c r="I16" i="2"/>
  <c r="I19" i="2"/>
  <c r="I20" i="2"/>
  <c r="I21" i="2"/>
  <c r="I22" i="2"/>
  <c r="I23" i="2"/>
  <c r="I24" i="2"/>
  <c r="I25" i="2"/>
  <c r="I26" i="2"/>
  <c r="I3" i="2"/>
  <c r="P24" i="2" l="1"/>
  <c r="P20" i="2"/>
  <c r="P14" i="2"/>
  <c r="P7" i="2"/>
  <c r="P25" i="2"/>
  <c r="P15" i="2"/>
  <c r="P21" i="2"/>
  <c r="P4" i="2"/>
  <c r="P26" i="2"/>
  <c r="P22" i="2"/>
  <c r="P16" i="2"/>
  <c r="P12" i="2"/>
  <c r="P5" i="2"/>
  <c r="P23" i="2"/>
  <c r="P19" i="2"/>
  <c r="P13" i="2"/>
  <c r="P6" i="2"/>
  <c r="P3" i="2"/>
  <c r="P3" i="1"/>
  <c r="P48" i="1"/>
  <c r="P59" i="1"/>
  <c r="P12" i="1"/>
  <c r="P13" i="1"/>
  <c r="P35" i="1"/>
  <c r="P37" i="1"/>
  <c r="P41" i="1"/>
  <c r="P44" i="1"/>
  <c r="P46" i="1"/>
  <c r="P50" i="1"/>
  <c r="P56" i="1"/>
  <c r="P58" i="1"/>
  <c r="P19" i="1"/>
  <c r="P26" i="1"/>
  <c r="P29" i="1"/>
  <c r="P64" i="1"/>
  <c r="P68" i="1"/>
  <c r="P11" i="1"/>
  <c r="P33" i="1"/>
  <c r="P36" i="1"/>
  <c r="P38" i="1"/>
  <c r="P40" i="1"/>
  <c r="P43" i="1"/>
  <c r="P45" i="1"/>
  <c r="P49" i="1"/>
  <c r="P52" i="1"/>
  <c r="P55" i="1"/>
  <c r="P60" i="1"/>
  <c r="P23" i="1"/>
  <c r="P28" i="1"/>
  <c r="P66" i="1"/>
  <c r="P69" i="1"/>
  <c r="P70" i="1"/>
  <c r="P10" i="1"/>
  <c r="P34" i="1"/>
  <c r="P39" i="1"/>
  <c r="P42" i="1"/>
  <c r="P47" i="1"/>
  <c r="P51" i="1"/>
  <c r="P53" i="1"/>
  <c r="P54" i="1"/>
  <c r="P57" i="1"/>
  <c r="P61" i="1"/>
  <c r="P25" i="1"/>
  <c r="P63" i="1"/>
  <c r="P65" i="1"/>
  <c r="P18" i="1"/>
  <c r="P9" i="1"/>
  <c r="P5" i="1"/>
  <c r="P6" i="1"/>
  <c r="P4" i="1"/>
  <c r="P8" i="1"/>
</calcChain>
</file>

<file path=xl/sharedStrings.xml><?xml version="1.0" encoding="utf-8"?>
<sst xmlns="http://schemas.openxmlformats.org/spreadsheetml/2006/main" count="1111" uniqueCount="776">
  <si>
    <t>XT30-M</t>
  </si>
  <si>
    <t>XT30-F</t>
  </si>
  <si>
    <t>XT60-M</t>
  </si>
  <si>
    <t>XT60-F</t>
  </si>
  <si>
    <t>XT90-M</t>
  </si>
  <si>
    <t>XT90-F</t>
  </si>
  <si>
    <t>MT60-M</t>
  </si>
  <si>
    <t>MT60-F</t>
  </si>
  <si>
    <t>MR60-M</t>
  </si>
  <si>
    <t>MR60-F</t>
  </si>
  <si>
    <t>Braided Sleeve</t>
  </si>
  <si>
    <t>30mm</t>
  </si>
  <si>
    <t>25mm</t>
  </si>
  <si>
    <t>16mm</t>
  </si>
  <si>
    <t>14mm</t>
  </si>
  <si>
    <t>12mm</t>
  </si>
  <si>
    <t>10mm</t>
  </si>
  <si>
    <t>8mm</t>
  </si>
  <si>
    <t>6mm</t>
  </si>
  <si>
    <t>4mm</t>
  </si>
  <si>
    <t>2.5mm</t>
  </si>
  <si>
    <t>Heat Shrink Tube</t>
  </si>
  <si>
    <t>1.5mm</t>
  </si>
  <si>
    <t>2mm</t>
  </si>
  <si>
    <t>5mm</t>
  </si>
  <si>
    <t>STJP-2C</t>
  </si>
  <si>
    <t>2 Core</t>
  </si>
  <si>
    <t>STJP-4C</t>
  </si>
  <si>
    <t>4 Core</t>
  </si>
  <si>
    <t>0.2mm</t>
  </si>
  <si>
    <t>Wire Red</t>
  </si>
  <si>
    <t>12 AWG</t>
  </si>
  <si>
    <t>Wire Black</t>
  </si>
  <si>
    <t>Harness Tape</t>
  </si>
  <si>
    <t>2cm</t>
  </si>
  <si>
    <t>3cm</t>
  </si>
  <si>
    <t>XT90BE-F</t>
  </si>
  <si>
    <t>3 Pin Dupont-M</t>
  </si>
  <si>
    <t>3 Pin Dupont-F</t>
  </si>
  <si>
    <t>19mm NC</t>
  </si>
  <si>
    <t>Ferrrite Squib Connector</t>
  </si>
  <si>
    <t>DB15-F</t>
  </si>
  <si>
    <t>With Cover</t>
  </si>
  <si>
    <t>Soldering Wire</t>
  </si>
  <si>
    <t>1mm</t>
  </si>
  <si>
    <t>Lacing Cord</t>
  </si>
  <si>
    <t>Sr/No</t>
  </si>
  <si>
    <t>BL-CHS 25x</t>
  </si>
  <si>
    <t>KZ-CHS 25x</t>
  </si>
  <si>
    <t>CHS Production</t>
  </si>
  <si>
    <t>Module Production</t>
  </si>
  <si>
    <t>PMU,Rect 26x</t>
  </si>
  <si>
    <t>PN-V3 26x</t>
  </si>
  <si>
    <t xml:space="preserve">Specs  </t>
  </si>
  <si>
    <t>Aux Items</t>
  </si>
  <si>
    <t xml:space="preserve">Name </t>
  </si>
  <si>
    <t>Req Qty</t>
  </si>
  <si>
    <t>In Stock</t>
  </si>
  <si>
    <t>with Cover</t>
  </si>
  <si>
    <t>Female Insulated Thimble</t>
  </si>
  <si>
    <t>Push Button</t>
  </si>
  <si>
    <t>DB9-F</t>
  </si>
  <si>
    <t>J30J-51ZKN</t>
  </si>
  <si>
    <t>J30J-37ZKN</t>
  </si>
  <si>
    <t>J30J-25ZKN</t>
  </si>
  <si>
    <t>J30J-15ZP 300mm</t>
  </si>
  <si>
    <t>0.4mm</t>
  </si>
  <si>
    <t>Heat Shrink Tube (Glue) Red</t>
  </si>
  <si>
    <t>Heat Shrink Tube (Glue) Black</t>
  </si>
  <si>
    <t>Thermal Pad</t>
  </si>
  <si>
    <t>Antistatic Bags</t>
  </si>
  <si>
    <t xml:space="preserve">M3x8 </t>
  </si>
  <si>
    <t>M3x12</t>
  </si>
  <si>
    <t>Countersunk, Black</t>
  </si>
  <si>
    <t>M3x6</t>
  </si>
  <si>
    <t>M2x8</t>
  </si>
  <si>
    <t>ThinHead, Silver</t>
  </si>
  <si>
    <t>M3x16</t>
  </si>
  <si>
    <t>ThinHead, Black</t>
  </si>
  <si>
    <t>Inserts</t>
  </si>
  <si>
    <t>Brass</t>
  </si>
  <si>
    <t>M3x12x4.5</t>
  </si>
  <si>
    <t>Spacer</t>
  </si>
  <si>
    <t>M2x6</t>
  </si>
  <si>
    <t>Plastic, Black</t>
  </si>
  <si>
    <t>M3x5</t>
  </si>
  <si>
    <t>Washer</t>
  </si>
  <si>
    <t>M3x6x1</t>
  </si>
  <si>
    <t>Plastic Washer</t>
  </si>
  <si>
    <t>M2x5x0.5</t>
  </si>
  <si>
    <t>White/Transparent</t>
  </si>
  <si>
    <t>Spring Washers</t>
  </si>
  <si>
    <t>M3</t>
  </si>
  <si>
    <t>304 SS</t>
  </si>
  <si>
    <t>M2</t>
  </si>
  <si>
    <t>Nylon 304 SS</t>
  </si>
  <si>
    <t>Lock Nuts</t>
  </si>
  <si>
    <t>Regular Nuts</t>
  </si>
  <si>
    <t>SS, Silver</t>
  </si>
  <si>
    <t>M3-1</t>
  </si>
  <si>
    <t>CLS</t>
  </si>
  <si>
    <t>Screw</t>
  </si>
  <si>
    <t>Specs</t>
  </si>
  <si>
    <t>Items</t>
  </si>
  <si>
    <t>Size</t>
  </si>
  <si>
    <t>J30J-51ZKWP7-J</t>
  </si>
  <si>
    <t>J30J-37ZKWP7-J</t>
  </si>
  <si>
    <t>J30J-15ZKWP7-J</t>
  </si>
  <si>
    <t>Metal Connectors</t>
  </si>
  <si>
    <t>Qty/26</t>
  </si>
  <si>
    <t>Remarks</t>
  </si>
  <si>
    <t>Project</t>
  </si>
  <si>
    <t>Mechanical Items</t>
  </si>
  <si>
    <t>Rectifier</t>
  </si>
  <si>
    <t>PMU</t>
  </si>
  <si>
    <t>Power Nexus</t>
  </si>
  <si>
    <t>Instock</t>
  </si>
  <si>
    <t>Req</t>
  </si>
  <si>
    <t>Heat Sink</t>
  </si>
  <si>
    <t>Rectifier Top</t>
  </si>
  <si>
    <t>Rectifier Bottom</t>
  </si>
  <si>
    <t>PMU Top</t>
  </si>
  <si>
    <t>PMU Bottom</t>
  </si>
  <si>
    <t>Power Nexus Top</t>
  </si>
  <si>
    <t>Power Nexus Botton</t>
  </si>
  <si>
    <t>Connector Plate</t>
  </si>
  <si>
    <t>Item</t>
  </si>
  <si>
    <t>Assemblies</t>
  </si>
  <si>
    <t>Total</t>
  </si>
  <si>
    <t>In Store</t>
  </si>
  <si>
    <t>BL/26</t>
  </si>
  <si>
    <t>SF/26</t>
  </si>
  <si>
    <t>A/U</t>
  </si>
  <si>
    <t>pcs</t>
  </si>
  <si>
    <t>Roll</t>
  </si>
  <si>
    <t>mtr</t>
  </si>
  <si>
    <t>Acrylic Name Plates</t>
  </si>
  <si>
    <t>Total/Batch</t>
  </si>
  <si>
    <t>0.5 mm</t>
  </si>
  <si>
    <t>2.5cm</t>
  </si>
  <si>
    <t>M3x3x4.2</t>
  </si>
  <si>
    <t>Ordered 27th jun</t>
  </si>
  <si>
    <t>11x Batches</t>
  </si>
  <si>
    <t>5x Batches</t>
  </si>
  <si>
    <t>Ordered</t>
  </si>
  <si>
    <t>200x400x1 mm</t>
  </si>
  <si>
    <t>3mm</t>
  </si>
  <si>
    <t>ECU-CHS 25x</t>
  </si>
  <si>
    <t>Wire PTFE</t>
  </si>
  <si>
    <t>Simple</t>
  </si>
  <si>
    <t>BL Rectifier PMU</t>
  </si>
  <si>
    <t>DB15-M</t>
  </si>
  <si>
    <t>With Cover &amp; Anchor</t>
  </si>
  <si>
    <t>To be Used</t>
  </si>
  <si>
    <t>04R-JWPF-VSLE-S Male</t>
  </si>
  <si>
    <t>with flying leads</t>
  </si>
  <si>
    <t>04R-JWPF-VSLE-S Female</t>
  </si>
  <si>
    <t xml:space="preserve">3D </t>
  </si>
  <si>
    <t>Cut+Lock</t>
  </si>
  <si>
    <t>Lock</t>
  </si>
  <si>
    <t>50x60cm</t>
  </si>
  <si>
    <t>25x30cm</t>
  </si>
  <si>
    <t>15x25cm</t>
  </si>
  <si>
    <t>3.8cm(1x25meter)</t>
  </si>
  <si>
    <t>3.8cm(1x55meter)</t>
  </si>
  <si>
    <t>3 Pin Dupont Molex Locking-F</t>
  </si>
  <si>
    <t>4 Pin Dupont Molex Locking-Female</t>
  </si>
  <si>
    <t>4 Pin Dupont Molex Locking-Male</t>
  </si>
  <si>
    <t>Sr.No</t>
  </si>
  <si>
    <t>Comment</t>
  </si>
  <si>
    <t>Manufacturer_Name</t>
  </si>
  <si>
    <t>Manufacturer_Part_Number</t>
  </si>
  <si>
    <t>LCSC Part No</t>
  </si>
  <si>
    <t>Qty Req</t>
  </si>
  <si>
    <t>1N4148W-7-F</t>
  </si>
  <si>
    <t>C83528</t>
  </si>
  <si>
    <t>120uF/50V</t>
  </si>
  <si>
    <t>Panasonic</t>
  </si>
  <si>
    <t>50SVPK120M</t>
  </si>
  <si>
    <t>C542591</t>
  </si>
  <si>
    <t>1K</t>
  </si>
  <si>
    <t>YAGEO</t>
  </si>
  <si>
    <t>AC0603FR-071KL</t>
  </si>
  <si>
    <t>2.2R</t>
  </si>
  <si>
    <t>AC0805FR-072R2L</t>
  </si>
  <si>
    <t>348K</t>
  </si>
  <si>
    <t>AC0805FR-07348KL</t>
  </si>
  <si>
    <t>C228757</t>
  </si>
  <si>
    <t>ADUM1201ARZ-RL7</t>
  </si>
  <si>
    <t>Analog Devices</t>
  </si>
  <si>
    <t>C9669</t>
  </si>
  <si>
    <t>AMC1311BDWVR</t>
  </si>
  <si>
    <t>Texas Instruments</t>
  </si>
  <si>
    <t>C783598</t>
  </si>
  <si>
    <t>AMS1117-3.3</t>
  </si>
  <si>
    <t>Advanced</t>
  </si>
  <si>
    <t>C6186</t>
  </si>
  <si>
    <t>178K</t>
  </si>
  <si>
    <t>Viking</t>
  </si>
  <si>
    <t>ARG03BTC1783</t>
  </si>
  <si>
    <t>C2441185</t>
  </si>
  <si>
    <t>40K 0.1%</t>
  </si>
  <si>
    <t>B5819W</t>
  </si>
  <si>
    <t>MDD(Microdiode Semiconductor)</t>
  </si>
  <si>
    <t>C64885</t>
  </si>
  <si>
    <t>BA41-60BT-0-NHB</t>
  </si>
  <si>
    <t>STWXE</t>
  </si>
  <si>
    <t>C508656</t>
  </si>
  <si>
    <t>BA42-60AT-0-NHB</t>
  </si>
  <si>
    <t>C7421069</t>
  </si>
  <si>
    <t>BLE32SN120BH1L</t>
  </si>
  <si>
    <t>Murata Electronics</t>
  </si>
  <si>
    <t>C7220261</t>
  </si>
  <si>
    <t>BLM31SN500SH1L</t>
  </si>
  <si>
    <t>BLM31SN500SZ1L</t>
  </si>
  <si>
    <t>C668307</t>
  </si>
  <si>
    <t>BNX026H01L</t>
  </si>
  <si>
    <t>C80505</t>
  </si>
  <si>
    <t>BSC0702LS</t>
  </si>
  <si>
    <t>Infineon</t>
  </si>
  <si>
    <t>C501503</t>
  </si>
  <si>
    <t>BZT52C12</t>
  </si>
  <si>
    <t>FUXINSEMI</t>
  </si>
  <si>
    <t>C908183</t>
  </si>
  <si>
    <t>8.2pF/50V</t>
  </si>
  <si>
    <t>CC0603BRNPO9BN8R2</t>
  </si>
  <si>
    <t>C519118</t>
  </si>
  <si>
    <t>6.8pF/50V</t>
  </si>
  <si>
    <t>CC0603CRNPO9BN6R8</t>
  </si>
  <si>
    <t>C282251</t>
  </si>
  <si>
    <t>47pF/100V</t>
  </si>
  <si>
    <t>CC0603FRNPO0BN470</t>
  </si>
  <si>
    <t>C527044</t>
  </si>
  <si>
    <t>10pF/100V</t>
  </si>
  <si>
    <t>CC0603JRNPO0BN100</t>
  </si>
  <si>
    <t>C576799</t>
  </si>
  <si>
    <t>22pF/50V</t>
  </si>
  <si>
    <t>CC0603JRNPO9BN220</t>
  </si>
  <si>
    <t>C105620</t>
  </si>
  <si>
    <t>560pF/50V</t>
  </si>
  <si>
    <t>CC0603JRNPO9BN561</t>
  </si>
  <si>
    <t>C107054</t>
  </si>
  <si>
    <t>1nF/100V</t>
  </si>
  <si>
    <t>CC0603KRX7R0BB102</t>
  </si>
  <si>
    <t>C106247</t>
  </si>
  <si>
    <t>0.1uF/100V</t>
  </si>
  <si>
    <t>CC0603KRX7R0BB104</t>
  </si>
  <si>
    <t>C113803</t>
  </si>
  <si>
    <t>47nF/100V</t>
  </si>
  <si>
    <t>CC0603KRX7R0BB473</t>
  </si>
  <si>
    <t>C576852</t>
  </si>
  <si>
    <t>10nF/50V</t>
  </si>
  <si>
    <t>CC0603KRX7R9BB103</t>
  </si>
  <si>
    <t>C100042</t>
  </si>
  <si>
    <t>1uF/50V</t>
  </si>
  <si>
    <t>CC0603KRX7R9BB105</t>
  </si>
  <si>
    <t>C559769</t>
  </si>
  <si>
    <t>22uF/25V</t>
  </si>
  <si>
    <t>CC0805MKX5R8BB226</t>
  </si>
  <si>
    <t>C784585</t>
  </si>
  <si>
    <t>CD4051BPWR</t>
  </si>
  <si>
    <t>C54587</t>
  </si>
  <si>
    <t>10uF/50V</t>
  </si>
  <si>
    <t>Samsung Electro-Mechanics</t>
  </si>
  <si>
    <t>CL31B106KBHNNNE</t>
  </si>
  <si>
    <t>C89632</t>
  </si>
  <si>
    <t>220uF/50V</t>
  </si>
  <si>
    <t>EEE-FT1H221AP</t>
  </si>
  <si>
    <t>C178594</t>
  </si>
  <si>
    <t>100uF/100V</t>
  </si>
  <si>
    <t>FOLLON</t>
  </si>
  <si>
    <t>EFVH100ADA101M10C0</t>
  </si>
  <si>
    <t>C22387799</t>
  </si>
  <si>
    <t>470uF/50V</t>
  </si>
  <si>
    <t>EFVM050ADA471M10C0</t>
  </si>
  <si>
    <t>C22469994</t>
  </si>
  <si>
    <t>EL3H7_B__TA_-VG</t>
  </si>
  <si>
    <t>Everlight</t>
  </si>
  <si>
    <t>EL3H7(B)(TA)-VG</t>
  </si>
  <si>
    <t>C2891578</t>
  </si>
  <si>
    <t>10uH , 4.5A</t>
  </si>
  <si>
    <t>cjiang</t>
  </si>
  <si>
    <t>FEXL0550A-100M</t>
  </si>
  <si>
    <t>C5378517</t>
  </si>
  <si>
    <t>FEXL1010A-100M</t>
  </si>
  <si>
    <t>C5378578</t>
  </si>
  <si>
    <t>27nF/100V</t>
  </si>
  <si>
    <t>PSA</t>
  </si>
  <si>
    <t>FM18X273K101PBG</t>
  </si>
  <si>
    <t>C525177</t>
  </si>
  <si>
    <t>4.7uF/100V</t>
  </si>
  <si>
    <t>FS32X475K101EGG</t>
  </si>
  <si>
    <t>C381466</t>
  </si>
  <si>
    <t>10uH , 3A</t>
  </si>
  <si>
    <t>cjiang (Changjiang Microelectronics Tech)</t>
  </si>
  <si>
    <t>FXL0530-100-M</t>
  </si>
  <si>
    <t>C177248</t>
  </si>
  <si>
    <t>3.9nF/50V</t>
  </si>
  <si>
    <t>100pF/100V</t>
  </si>
  <si>
    <t>GCM1885C2A101JA16D</t>
  </si>
  <si>
    <t>C126576</t>
  </si>
  <si>
    <t>1.5nF/100V</t>
  </si>
  <si>
    <t>muRata</t>
  </si>
  <si>
    <t>GCM1885C2A152JA16D</t>
  </si>
  <si>
    <t>C388906</t>
  </si>
  <si>
    <t>820pF/100V</t>
  </si>
  <si>
    <t>GCM1885C2A821JA16D</t>
  </si>
  <si>
    <t>C668321</t>
  </si>
  <si>
    <t>680pF/50V</t>
  </si>
  <si>
    <t>GRM1885C1H681GA01D</t>
  </si>
  <si>
    <t>C464441</t>
  </si>
  <si>
    <t>1.2nF/100V</t>
  </si>
  <si>
    <t>GRM1885C2A122JA01D</t>
  </si>
  <si>
    <t>C710905</t>
  </si>
  <si>
    <t>2.2uF/25V</t>
  </si>
  <si>
    <t>GRM188Z71E225KE43D</t>
  </si>
  <si>
    <t>C415535</t>
  </si>
  <si>
    <t>10uF/100V</t>
  </si>
  <si>
    <t>GRM32EC72A106KE05L</t>
  </si>
  <si>
    <t>C576517</t>
  </si>
  <si>
    <t>GRM32ER71E226KE15L</t>
  </si>
  <si>
    <t>C21397</t>
  </si>
  <si>
    <t>HF115F_012-2ZS4BF_610_</t>
  </si>
  <si>
    <t>Hongfa</t>
  </si>
  <si>
    <t>HF115F/012-2ZS4</t>
  </si>
  <si>
    <t>C163534</t>
  </si>
  <si>
    <t>12mR, 3W</t>
  </si>
  <si>
    <t>Milliohm</t>
  </si>
  <si>
    <t>HOLLR2512-3W-12MR-1%</t>
  </si>
  <si>
    <t>C2985713</t>
  </si>
  <si>
    <t>2mR,3W</t>
  </si>
  <si>
    <t>HOLLR2512-3W-2MR-1%</t>
  </si>
  <si>
    <t>C2994640</t>
  </si>
  <si>
    <t>30mR, 3W</t>
  </si>
  <si>
    <t>HOLLR2512-3W-30MR-1%</t>
  </si>
  <si>
    <t>C2985720</t>
  </si>
  <si>
    <t>3mR, 3W</t>
  </si>
  <si>
    <t>HoLLR2512-3W-3mR-1%</t>
  </si>
  <si>
    <t>C2994641</t>
  </si>
  <si>
    <t>6mR, 3W</t>
  </si>
  <si>
    <t>HOLLR2512-3W-6MR-1%</t>
  </si>
  <si>
    <t>C2985709</t>
  </si>
  <si>
    <t>INA240A2DR</t>
  </si>
  <si>
    <t>C2060768</t>
  </si>
  <si>
    <t>IPB042N10N3G</t>
  </si>
  <si>
    <t>C69300</t>
  </si>
  <si>
    <t>IRLML0100TRPBF</t>
  </si>
  <si>
    <t>C53658</t>
  </si>
  <si>
    <t>LGS5145</t>
  </si>
  <si>
    <t>Legend-Si</t>
  </si>
  <si>
    <t>C5123971</t>
  </si>
  <si>
    <t>LM5122QMHX_NOPB</t>
  </si>
  <si>
    <t>LM5122QMHX/NOPB</t>
  </si>
  <si>
    <t>C527477</t>
  </si>
  <si>
    <t>LM5146RGYR</t>
  </si>
  <si>
    <t>C3188679</t>
  </si>
  <si>
    <t>LM74700QDBVRQ1</t>
  </si>
  <si>
    <t>C2941042</t>
  </si>
  <si>
    <t>Lite-On</t>
  </si>
  <si>
    <t>LTST-C193KRKT-5A</t>
  </si>
  <si>
    <t>C157741</t>
  </si>
  <si>
    <t>MBR0520L</t>
  </si>
  <si>
    <t>onsemi</t>
  </si>
  <si>
    <t>MBR0520LT3G</t>
  </si>
  <si>
    <t>C165467</t>
  </si>
  <si>
    <t>NTCG163JF103FT1S</t>
  </si>
  <si>
    <t>TDK</t>
  </si>
  <si>
    <t>C406719</t>
  </si>
  <si>
    <t>PMEG6020ER</t>
  </si>
  <si>
    <t>Nexperia</t>
  </si>
  <si>
    <t>C2687553</t>
  </si>
  <si>
    <t>0R</t>
  </si>
  <si>
    <t>RC0603FR-070RL</t>
  </si>
  <si>
    <t>C100044</t>
  </si>
  <si>
    <t>100R</t>
  </si>
  <si>
    <t>RC0603FR-07100RL</t>
  </si>
  <si>
    <t>C105588</t>
  </si>
  <si>
    <t>10R</t>
  </si>
  <si>
    <t>C109318</t>
  </si>
  <si>
    <t>120R</t>
  </si>
  <si>
    <t>RC0603FR-07120RL</t>
  </si>
  <si>
    <t>C114640</t>
  </si>
  <si>
    <t>150K</t>
  </si>
  <si>
    <t>RC0603FR-07150KL</t>
  </si>
  <si>
    <t>C114660</t>
  </si>
  <si>
    <t>191R</t>
  </si>
  <si>
    <t>RC0603FR-07191RL</t>
  </si>
  <si>
    <t>C185362</t>
  </si>
  <si>
    <t>274K</t>
  </si>
  <si>
    <t>RC0603FR-07274KL</t>
  </si>
  <si>
    <t>C482818</t>
  </si>
  <si>
    <t>330R</t>
  </si>
  <si>
    <t>RC0603FR-07330RL</t>
  </si>
  <si>
    <t>C105881</t>
  </si>
  <si>
    <t>3.09K</t>
  </si>
  <si>
    <t>RC0603FR-073K09L</t>
  </si>
  <si>
    <t>C185334</t>
  </si>
  <si>
    <t>510R</t>
  </si>
  <si>
    <t>RC0603FR-07510RL</t>
  </si>
  <si>
    <t>C114670</t>
  </si>
  <si>
    <t>64.9K</t>
  </si>
  <si>
    <t>RC0603FR-0764K9L</t>
  </si>
  <si>
    <t>C137692</t>
  </si>
  <si>
    <t>200K</t>
  </si>
  <si>
    <t>RC0805FR-07200KL</t>
  </si>
  <si>
    <t>C114562</t>
  </si>
  <si>
    <t>294K</t>
  </si>
  <si>
    <t>RC0805FR-07294KL</t>
  </si>
  <si>
    <t>C483087</t>
  </si>
  <si>
    <t>1K, 2W</t>
  </si>
  <si>
    <t>RC2512JK-7W1KL</t>
  </si>
  <si>
    <t>C7038808</t>
  </si>
  <si>
    <t>44.2K 0.1%</t>
  </si>
  <si>
    <t>RP0603BRD0744K2L</t>
  </si>
  <si>
    <t>100K 0.1%</t>
  </si>
  <si>
    <t>RT0603BRD07100KL</t>
  </si>
  <si>
    <t>C122538</t>
  </si>
  <si>
    <t>10K 0.1%</t>
  </si>
  <si>
    <t>RT0603BRD0710KL</t>
  </si>
  <si>
    <t>C95204</t>
  </si>
  <si>
    <t>110K 0.1%</t>
  </si>
  <si>
    <t>RT0603BRD07110KL</t>
  </si>
  <si>
    <t>C326736</t>
  </si>
  <si>
    <t>11.5K 0.1%</t>
  </si>
  <si>
    <t>RT0603BRD0711K5L</t>
  </si>
  <si>
    <t>C705719</t>
  </si>
  <si>
    <t>133R 0.1%</t>
  </si>
  <si>
    <t>RT0603BRD07133RL</t>
  </si>
  <si>
    <t>C861112</t>
  </si>
  <si>
    <t>143K 0.1%</t>
  </si>
  <si>
    <t>RT0603BRD07143KL</t>
  </si>
  <si>
    <t>C861127</t>
  </si>
  <si>
    <t>16.2K 0.1%</t>
  </si>
  <si>
    <t>RT0603BRD0716K2L</t>
  </si>
  <si>
    <t>C728583</t>
  </si>
  <si>
    <t>20K 0.1%</t>
  </si>
  <si>
    <t>RT0603BRD0720KL</t>
  </si>
  <si>
    <t>C723637</t>
  </si>
  <si>
    <t>22.1K 0.1%</t>
  </si>
  <si>
    <t>RT0603BRD0722K1L</t>
  </si>
  <si>
    <t>C723484</t>
  </si>
  <si>
    <t>24.6K 0.1%</t>
  </si>
  <si>
    <t>RT0603BRD0724K6L</t>
  </si>
  <si>
    <t>C861250</t>
  </si>
  <si>
    <t>2.37K 0.1%</t>
  </si>
  <si>
    <t>RT0603BRD072K37L</t>
  </si>
  <si>
    <t>C705759</t>
  </si>
  <si>
    <t>309K 0.1%</t>
  </si>
  <si>
    <t>RT0603BRD07309KL</t>
  </si>
  <si>
    <t>C861311</t>
  </si>
  <si>
    <t>33.2K</t>
  </si>
  <si>
    <t>RT0603BRD0733K2L</t>
  </si>
  <si>
    <t>C705767</t>
  </si>
  <si>
    <t>4.3K 0.1%</t>
  </si>
  <si>
    <t>RT0603BRD074K3L</t>
  </si>
  <si>
    <t>C861441</t>
  </si>
  <si>
    <t>56.2K 0.1%</t>
  </si>
  <si>
    <t>RT0603BRD0756K2L</t>
  </si>
  <si>
    <t>C705784</t>
  </si>
  <si>
    <t>60.4K 0.1%</t>
  </si>
  <si>
    <t>RT0603BRD0760K4L</t>
  </si>
  <si>
    <t>C861495</t>
  </si>
  <si>
    <t>768R 0.1%</t>
  </si>
  <si>
    <t>RT0603BRD07768RL</t>
  </si>
  <si>
    <t>C861554</t>
  </si>
  <si>
    <t>82K 0.1%</t>
  </si>
  <si>
    <t>RT0603BRD0782KL</t>
  </si>
  <si>
    <t>C728598</t>
  </si>
  <si>
    <t>12.7K 0.1%</t>
  </si>
  <si>
    <t>RT0603BRE0712K7L</t>
  </si>
  <si>
    <t>C861653</t>
  </si>
  <si>
    <t>1.58K 0.1%</t>
  </si>
  <si>
    <t>RT0603BRE071K58L</t>
  </si>
  <si>
    <t>C861733</t>
  </si>
  <si>
    <t>3.83K 0.1%</t>
  </si>
  <si>
    <t>RT0603BRE073K83L</t>
  </si>
  <si>
    <t>C849742</t>
  </si>
  <si>
    <t>4.42K</t>
  </si>
  <si>
    <t>RT0603BRE074K42L</t>
  </si>
  <si>
    <t>C849785</t>
  </si>
  <si>
    <t>57.6K 0.1%</t>
  </si>
  <si>
    <t>RT0603BRE0757K6L</t>
  </si>
  <si>
    <t>C849817</t>
  </si>
  <si>
    <t>649R 0.1%</t>
  </si>
  <si>
    <t>RT0603BRE07649RL</t>
  </si>
  <si>
    <t>C705870</t>
  </si>
  <si>
    <t>732R 0.1%</t>
  </si>
  <si>
    <t>RT0603BRE07732RL</t>
  </si>
  <si>
    <t>C862275</t>
  </si>
  <si>
    <t>80.6K</t>
  </si>
  <si>
    <t>RT0603BRE0780K6L</t>
  </si>
  <si>
    <t>C862291</t>
  </si>
  <si>
    <t>SBR40U300CTB</t>
  </si>
  <si>
    <t>Diodes Incorporated</t>
  </si>
  <si>
    <t>C443663</t>
  </si>
  <si>
    <t>SD05C-01FTG</t>
  </si>
  <si>
    <t>LITTELFUSE</t>
  </si>
  <si>
    <t>C118264</t>
  </si>
  <si>
    <t>SI7461DP-T1-GE3</t>
  </si>
  <si>
    <t>Vishay</t>
  </si>
  <si>
    <t>C553968</t>
  </si>
  <si>
    <t>SM712-02HTG</t>
  </si>
  <si>
    <t>C172881</t>
  </si>
  <si>
    <t>SMBJ48A</t>
  </si>
  <si>
    <t>HXY MOSFET</t>
  </si>
  <si>
    <t>C7495262</t>
  </si>
  <si>
    <t>SMBJ85A</t>
  </si>
  <si>
    <t>Littelfuse</t>
  </si>
  <si>
    <t>C5299832</t>
  </si>
  <si>
    <t>SN74LVC8T245PW</t>
  </si>
  <si>
    <t>SN74LVC8T245PWR</t>
  </si>
  <si>
    <t>SS510B</t>
  </si>
  <si>
    <t>C65011</t>
  </si>
  <si>
    <t>STL60P4LLF6</t>
  </si>
  <si>
    <t>STMicroelectronics</t>
  </si>
  <si>
    <t>C2688588</t>
  </si>
  <si>
    <t>STM32G474RBT3</t>
  </si>
  <si>
    <t>STM32G474RBT6</t>
  </si>
  <si>
    <t>SUM110P06-08L-E3</t>
  </si>
  <si>
    <t>VISHAY</t>
  </si>
  <si>
    <t>C435954</t>
  </si>
  <si>
    <t>1000uF/6.3V</t>
  </si>
  <si>
    <t>KYOCERA AVX</t>
  </si>
  <si>
    <t>TAJE108M006RNJ</t>
  </si>
  <si>
    <t>C54883</t>
  </si>
  <si>
    <t>5.1R 0.1%</t>
  </si>
  <si>
    <t>THVD1451D</t>
  </si>
  <si>
    <t>THVD1451DR</t>
  </si>
  <si>
    <t>C2671319</t>
  </si>
  <si>
    <t>TLV333IDBVR</t>
  </si>
  <si>
    <t>C473369</t>
  </si>
  <si>
    <t>TLV4333IPWR</t>
  </si>
  <si>
    <t>C2060549</t>
  </si>
  <si>
    <t>TPS54360BDDAR</t>
  </si>
  <si>
    <t>C524806</t>
  </si>
  <si>
    <t>TPS76350DBVR</t>
  </si>
  <si>
    <t>UZ1085L-33-TN3-R</t>
  </si>
  <si>
    <t>Unisonic Tech</t>
  </si>
  <si>
    <t>C125622</t>
  </si>
  <si>
    <t>VPS8505</t>
  </si>
  <si>
    <t>VPSC</t>
  </si>
  <si>
    <t>C2986360</t>
  </si>
  <si>
    <t>VPT85BB-01A</t>
  </si>
  <si>
    <t>C2875071</t>
  </si>
  <si>
    <t>X322516MOB4SI</t>
  </si>
  <si>
    <t>YXC Crystal Oscillators</t>
  </si>
  <si>
    <t>C12668</t>
  </si>
  <si>
    <t>10uH, 25A</t>
  </si>
  <si>
    <t>YJYCOIN</t>
  </si>
  <si>
    <t>YSPIT1513A-100M</t>
  </si>
  <si>
    <t>C19188716</t>
  </si>
  <si>
    <t>Label Printer Cartage</t>
  </si>
  <si>
    <t>CC0603JRNPO9BN392</t>
  </si>
  <si>
    <t>ROQANG</t>
  </si>
  <si>
    <t>VT1J470M0810</t>
  </si>
  <si>
    <t>DIODES/RECTRON</t>
  </si>
  <si>
    <t>SN74LV4051APWR</t>
  </si>
  <si>
    <t>TPS54560BQDDARQ1</t>
  </si>
  <si>
    <t>C2072188</t>
  </si>
  <si>
    <t>ISO7740FDBQR</t>
  </si>
  <si>
    <t>8.2uH,7A</t>
  </si>
  <si>
    <t>C5378516</t>
  </si>
  <si>
    <t xml:space="preserve">cjiang </t>
  </si>
  <si>
    <t>FEXL0550A-8R2M</t>
  </si>
  <si>
    <t>RT0603BRD075R1L</t>
  </si>
  <si>
    <t>C861491</t>
  </si>
  <si>
    <t>220R</t>
  </si>
  <si>
    <t>RC0603FR-07220RL</t>
  </si>
  <si>
    <t>C107696</t>
  </si>
  <si>
    <t>23.7K 0.1%</t>
  </si>
  <si>
    <t>RT0603BRD0723K7L</t>
  </si>
  <si>
    <t>C861245</t>
  </si>
  <si>
    <t>RT0603BRD0740KL</t>
  </si>
  <si>
    <t>C861392</t>
  </si>
  <si>
    <t>2.2K</t>
  </si>
  <si>
    <t>C125931</t>
  </si>
  <si>
    <t>AC0603FR-072K2L</t>
  </si>
  <si>
    <t>C6982573/C861410</t>
  </si>
  <si>
    <t>16.5K 0.1%</t>
  </si>
  <si>
    <t>RT0603BRD0716K5L</t>
  </si>
  <si>
    <t>C728584</t>
  </si>
  <si>
    <t>STTH2R02U</t>
  </si>
  <si>
    <t>C2802049</t>
  </si>
  <si>
    <t>SS10100-SMB</t>
  </si>
  <si>
    <t>GOODWORK</t>
  </si>
  <si>
    <t>C908688</t>
  </si>
  <si>
    <t>Qty/Set
BL</t>
  </si>
  <si>
    <t>QTY/Set
PN-V3</t>
  </si>
  <si>
    <t>LCSC#</t>
  </si>
  <si>
    <t>C138268</t>
  </si>
  <si>
    <t>Types</t>
  </si>
  <si>
    <t>EMI Filters</t>
  </si>
  <si>
    <t>Relay</t>
  </si>
  <si>
    <t>LED</t>
  </si>
  <si>
    <t>Thermistor</t>
  </si>
  <si>
    <t>Resistors</t>
  </si>
  <si>
    <t>Current Sense
Resistors</t>
  </si>
  <si>
    <t>Ceramic
Capacitors</t>
  </si>
  <si>
    <t>Inductors</t>
  </si>
  <si>
    <t>Integrated
Circuits</t>
  </si>
  <si>
    <t>Ferrite
Beads</t>
  </si>
  <si>
    <t>MOSFETS</t>
  </si>
  <si>
    <t>TRANSFORMER</t>
  </si>
  <si>
    <t>Connectors</t>
  </si>
  <si>
    <t>C310852</t>
  </si>
  <si>
    <t>47uF/63V</t>
  </si>
  <si>
    <t>10uH , 15.5A</t>
  </si>
  <si>
    <t>C529413</t>
  </si>
  <si>
    <t>Crystal</t>
  </si>
  <si>
    <t>Polar
Capacitors</t>
  </si>
  <si>
    <t>Verified</t>
  </si>
  <si>
    <t>20mm</t>
  </si>
  <si>
    <t>Rectifier Name Plates</t>
  </si>
  <si>
    <t>Rectifier Side Plates</t>
  </si>
  <si>
    <t>Metal Plates</t>
  </si>
  <si>
    <t>4.7nF/50V</t>
  </si>
  <si>
    <t>CC0603KRX7R9BB472</t>
  </si>
  <si>
    <t>C106218</t>
  </si>
  <si>
    <t>PSA/YAGEO</t>
  </si>
  <si>
    <t>C576718/C576817</t>
  </si>
  <si>
    <t>SD15C-01FTG</t>
  </si>
  <si>
    <t>C207245</t>
  </si>
  <si>
    <t>onsemi/SMC Diode Solution</t>
  </si>
  <si>
    <t>BLM18PG121SN1D</t>
  </si>
  <si>
    <t>C14709</t>
  </si>
  <si>
    <t>1.65K 0.1%</t>
  </si>
  <si>
    <t>RT0603BRD071K65L</t>
  </si>
  <si>
    <t>C705743</t>
  </si>
  <si>
    <t>ISO1050DWR</t>
  </si>
  <si>
    <t>C93718</t>
  </si>
  <si>
    <t>ISO3082DWR</t>
  </si>
  <si>
    <t>C21710</t>
  </si>
  <si>
    <t>NCV1117DT33T5G</t>
  </si>
  <si>
    <t>C20625</t>
  </si>
  <si>
    <t>C194609/C5380676</t>
  </si>
  <si>
    <t>C27643/C1523276</t>
  </si>
  <si>
    <t>SN74LVC2G17DBVR</t>
  </si>
  <si>
    <t>C10429</t>
  </si>
  <si>
    <t>STM32H743VGT6</t>
  </si>
  <si>
    <t>C730183</t>
  </si>
  <si>
    <t>ADS1220IPWR</t>
  </si>
  <si>
    <t>C48263</t>
  </si>
  <si>
    <t>W25Q128JVSIQ_TR</t>
  </si>
  <si>
    <t>Winbond</t>
  </si>
  <si>
    <t>C97521</t>
  </si>
  <si>
    <t>DEBUG/Lite-0n</t>
  </si>
  <si>
    <t>60.4R</t>
  </si>
  <si>
    <t>RC0603FR-0760R4L</t>
  </si>
  <si>
    <t>C245987</t>
  </si>
  <si>
    <t>10R 0.1%</t>
  </si>
  <si>
    <t>RT0603BRD0710RL</t>
  </si>
  <si>
    <t>C861082</t>
  </si>
  <si>
    <t>C116692/C22548</t>
  </si>
  <si>
    <t>22R</t>
  </si>
  <si>
    <t>RC0603FR-074K7L</t>
  </si>
  <si>
    <t>C99782</t>
  </si>
  <si>
    <t>C107701</t>
  </si>
  <si>
    <t>4.7K Res  1</t>
  </si>
  <si>
    <t>AC0805FR-7W1KL</t>
  </si>
  <si>
    <t>C727989</t>
  </si>
  <si>
    <t>3.3K 0.1%</t>
  </si>
  <si>
    <t>RT0603BRD073K3L</t>
  </si>
  <si>
    <t>C309653</t>
  </si>
  <si>
    <t>PESD2CANFD24V-TR</t>
  </si>
  <si>
    <t>ElecSUPER</t>
  </si>
  <si>
    <t>C39832198</t>
  </si>
  <si>
    <t>Sensor</t>
  </si>
  <si>
    <t>BMP585</t>
  </si>
  <si>
    <t>Bosch Sensortec</t>
  </si>
  <si>
    <t>C18184976</t>
  </si>
  <si>
    <t>X322525MOB4SI</t>
  </si>
  <si>
    <t>C9006</t>
  </si>
  <si>
    <t>Cable Tie Holder</t>
  </si>
  <si>
    <t>Received</t>
  </si>
  <si>
    <t>'BZT52C10,BZT52C12</t>
  </si>
  <si>
    <t>SI2347DS-T1-GE3</t>
  </si>
  <si>
    <t>C145002</t>
  </si>
  <si>
    <t>QTY/Set
ECU
V1P3</t>
  </si>
  <si>
    <t>J30J-100TJL    2000mm</t>
  </si>
  <si>
    <t>J30J-100TJL    300mm</t>
  </si>
  <si>
    <t>J30J-100ZKP    1000mm</t>
  </si>
  <si>
    <t>J30J-100ZKP    300mm</t>
  </si>
  <si>
    <t>J30J-74TJL     600mm</t>
  </si>
  <si>
    <t>J30J-66TJL     600mm</t>
  </si>
  <si>
    <t>J30J-51TJL     600mm</t>
  </si>
  <si>
    <t>J30J-51TJL     300mm</t>
  </si>
  <si>
    <t>J30J-37TJL     600mm</t>
  </si>
  <si>
    <t>J30J-37TJL      350mm</t>
  </si>
  <si>
    <t>J24H-37TK     600mm</t>
  </si>
  <si>
    <t>J30J-25TJL     300mm</t>
  </si>
  <si>
    <t>J30J-21TJL     100mm</t>
  </si>
  <si>
    <t>J30J-21TJL     600mm</t>
  </si>
  <si>
    <t>J24H-9TK      500mm</t>
  </si>
  <si>
    <t>J24H-19TK      500mm</t>
  </si>
  <si>
    <t>J30J-15TJL 2100mm</t>
  </si>
  <si>
    <t>J30J-15TJL 1700mm</t>
  </si>
  <si>
    <t>J30J-15TJL     600mm</t>
  </si>
  <si>
    <t>J30J-15TJL     100mm</t>
  </si>
  <si>
    <t>J30J-25ZKP     300mm</t>
  </si>
  <si>
    <t>J30J-21ZKP     2300mm</t>
  </si>
  <si>
    <t>J30J-21ZKP     100mm</t>
  </si>
  <si>
    <t>J30J-15ZKP     300mm</t>
  </si>
  <si>
    <t>J30J-15ZKP     1100mm</t>
  </si>
  <si>
    <t>J30J-15ZKP     2150mm</t>
  </si>
  <si>
    <t>J30J-9ZKP     100mm</t>
  </si>
  <si>
    <t>J30J-19ZJ   300mm</t>
  </si>
  <si>
    <t>J30J-9ZJ   300mm</t>
  </si>
  <si>
    <t>Delivered on 10 july</t>
  </si>
  <si>
    <t>CONSOLIDATED SMD COMPONENTS BOM BL,PN-V3,ECU V1P3</t>
  </si>
  <si>
    <t>J30-15TJL     300mm</t>
  </si>
  <si>
    <t>Delivered to rizwan on 11 july</t>
  </si>
  <si>
    <t>For 
Harness</t>
  </si>
  <si>
    <t>Antenna</t>
  </si>
  <si>
    <t>RF Cable</t>
  </si>
  <si>
    <t>ECU
PN-V3</t>
  </si>
  <si>
    <t>Used 2x per Set(ECU,PN)</t>
  </si>
  <si>
    <t>ECU-V1P3 26x</t>
  </si>
  <si>
    <t>Male-Female Spacer</t>
  </si>
  <si>
    <t>ECU/26</t>
  </si>
  <si>
    <t>4x Batches</t>
  </si>
  <si>
    <t>M3x10</t>
  </si>
  <si>
    <t>DB9-M</t>
  </si>
  <si>
    <t>QTY/Set
ESR
V1P3</t>
  </si>
  <si>
    <t>RC0805FR-071KL</t>
  </si>
  <si>
    <t>C95781</t>
  </si>
  <si>
    <t>10nF/100V</t>
  </si>
  <si>
    <t>CC0603KRX7R0BB103</t>
  </si>
  <si>
    <t>C107059</t>
  </si>
  <si>
    <t>CC1206KKX7R0BB105</t>
  </si>
  <si>
    <t>C70463</t>
  </si>
  <si>
    <t>1uF/100V</t>
  </si>
  <si>
    <t>DIODES</t>
  </si>
  <si>
    <t>XT60PW-M</t>
  </si>
  <si>
    <t>XT60PW-F</t>
  </si>
  <si>
    <t>Changzou Amass Elec</t>
  </si>
  <si>
    <t>C98732</t>
  </si>
  <si>
    <t>C428722</t>
  </si>
  <si>
    <t>X9556WR-03-N0V01</t>
  </si>
  <si>
    <t>XKB Conne tion</t>
  </si>
  <si>
    <t>C397411</t>
  </si>
  <si>
    <t>IPB180P04P4L-02</t>
  </si>
  <si>
    <t>C536578</t>
  </si>
  <si>
    <t>Delivered to Harness</t>
  </si>
  <si>
    <t>40 ECU/60 NCUAS</t>
  </si>
  <si>
    <t>Delivered for ECU</t>
  </si>
  <si>
    <t>Thin Head, Black</t>
  </si>
  <si>
    <t>ESR/26</t>
  </si>
  <si>
    <t>12x Bateches</t>
  </si>
  <si>
    <t>M3x6x0.5</t>
  </si>
  <si>
    <t>Flat 304 SS</t>
  </si>
  <si>
    <t>Delivered to Harness,SM02</t>
  </si>
  <si>
    <t>SM02</t>
  </si>
  <si>
    <t>J30J-21TJL     300mm</t>
  </si>
  <si>
    <t>J30J-37TK     300mm</t>
  </si>
  <si>
    <t>J30J-37ZKP  300mm</t>
  </si>
  <si>
    <t>7 TO I-9</t>
  </si>
  <si>
    <t>J30J-74ZKP  600mm</t>
  </si>
  <si>
    <t>J30J-15ZKP 1000mm</t>
  </si>
  <si>
    <t>J30J-25ZKP 600mm</t>
  </si>
  <si>
    <t>J30J-74TJL     1000mm</t>
  </si>
  <si>
    <t>J30J-37ZKP  600mm</t>
  </si>
  <si>
    <t>J29A-37ZK</t>
  </si>
  <si>
    <t>J29A-37TJ</t>
  </si>
  <si>
    <t>Delivered to Harness 20 july</t>
  </si>
  <si>
    <t>JX</t>
  </si>
  <si>
    <t>9+2-M</t>
  </si>
  <si>
    <t>9+2-F</t>
  </si>
  <si>
    <t>J30J-9TJL 650/300mm</t>
  </si>
  <si>
    <t>J30J-15TJL     300mm</t>
  </si>
  <si>
    <t>ESR-V1P3 26x</t>
  </si>
  <si>
    <t>AntiStatic Bags</t>
  </si>
  <si>
    <t>10x10cm</t>
  </si>
  <si>
    <t>Pcs</t>
  </si>
  <si>
    <t>212 in progress</t>
  </si>
  <si>
    <t>15 Roll</t>
  </si>
  <si>
    <t>3 Pin Dupont Molex Locking-M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</si>
</sst>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quotePrefix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0" borderId="0" xfId="0" applyFill="1"/>
    <xf numFmtId="0" fontId="4" fillId="0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6" xfId="0" quotePrefix="1" applyFill="1" applyBorder="1" applyAlignment="1">
      <alignment horizontal="center" vertical="center" wrapText="1"/>
    </xf>
    <xf numFmtId="0" fontId="0" fillId="0" borderId="18" xfId="0" quotePrefix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quotePrefix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0" fillId="0" borderId="10" xfId="0" quotePrefix="1" applyFill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quotePrefix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6" borderId="10" xfId="0" quotePrefix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0" borderId="38" xfId="0" quotePrefix="1" applyBorder="1" applyAlignment="1">
      <alignment horizontal="center" vertical="center" wrapText="1"/>
    </xf>
    <xf numFmtId="0" fontId="0" fillId="0" borderId="38" xfId="0" quotePrefix="1" applyFill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quotePrefix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7" xfId="0" quotePrefix="1" applyFill="1" applyBorder="1" applyAlignment="1">
      <alignment horizontal="center" vertical="center" wrapText="1"/>
    </xf>
    <xf numFmtId="0" fontId="0" fillId="0" borderId="16" xfId="0" quotePrefix="1" applyFill="1" applyBorder="1" applyAlignment="1">
      <alignment horizontal="center" vertical="center" wrapText="1"/>
    </xf>
    <xf numFmtId="0" fontId="0" fillId="0" borderId="36" xfId="0" quotePrefix="1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1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23" xfId="0" applyFill="1" applyBorder="1" applyAlignment="1">
      <alignment horizontal="center"/>
    </xf>
    <xf numFmtId="0" fontId="0" fillId="0" borderId="32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/>
    </xf>
    <xf numFmtId="0" fontId="2" fillId="4" borderId="29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0" fillId="0" borderId="3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26" xfId="0" quotePrefix="1" applyFill="1" applyBorder="1" applyAlignment="1">
      <alignment horizontal="center" vertical="center" wrapText="1"/>
    </xf>
    <xf numFmtId="0" fontId="0" fillId="0" borderId="27" xfId="0" quotePrefix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/>
    </xf>
    <xf numFmtId="0" fontId="11" fillId="0" borderId="4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0" borderId="52" xfId="0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 wrapText="1"/>
    </xf>
    <xf numFmtId="0" fontId="0" fillId="0" borderId="24" xfId="0" quotePrefix="1" applyBorder="1" applyAlignment="1">
      <alignment horizontal="center" vertical="center" wrapText="1"/>
    </xf>
    <xf numFmtId="0" fontId="0" fillId="0" borderId="31" xfId="0" quotePrefix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0" xfId="0" quotePrefix="1" applyFill="1" applyBorder="1" applyAlignment="1">
      <alignment horizontal="center" vertical="center" wrapText="1"/>
    </xf>
    <xf numFmtId="0" fontId="0" fillId="0" borderId="20" xfId="0" quotePrefix="1" applyBorder="1" applyAlignment="1">
      <alignment horizontal="center" vertical="center" wrapText="1"/>
    </xf>
    <xf numFmtId="0" fontId="0" fillId="0" borderId="57" xfId="0" quotePrefix="1" applyBorder="1" applyAlignment="1">
      <alignment horizontal="center" vertical="center" wrapText="1"/>
    </xf>
    <xf numFmtId="0" fontId="0" fillId="0" borderId="25" xfId="0" quotePrefix="1" applyFill="1" applyBorder="1" applyAlignment="1">
      <alignment horizontal="center" vertical="center" wrapText="1"/>
    </xf>
    <xf numFmtId="0" fontId="0" fillId="0" borderId="37" xfId="0" quotePrefix="1" applyBorder="1" applyAlignment="1">
      <alignment horizontal="center" vertical="center" wrapText="1"/>
    </xf>
    <xf numFmtId="0" fontId="0" fillId="6" borderId="13" xfId="0" quotePrefix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2" xfId="0" quotePrefix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58" xfId="0" applyFill="1" applyBorder="1" applyAlignment="1">
      <alignment horizontal="center" vertical="center" wrapText="1"/>
    </xf>
    <xf numFmtId="0" fontId="0" fillId="6" borderId="48" xfId="0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0" fillId="2" borderId="1" xfId="0" applyFill="1" applyBorder="1"/>
    <xf numFmtId="0" fontId="5" fillId="2" borderId="63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0" fillId="2" borderId="33" xfId="0" applyFill="1" applyBorder="1"/>
    <xf numFmtId="0" fontId="0" fillId="2" borderId="34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11" xfId="0" applyFill="1" applyBorder="1"/>
    <xf numFmtId="0" fontId="0" fillId="2" borderId="14" xfId="0" applyFill="1" applyBorder="1"/>
    <xf numFmtId="0" fontId="0" fillId="2" borderId="56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0" borderId="4" xfId="0" applyBorder="1"/>
    <xf numFmtId="0" fontId="10" fillId="2" borderId="17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7" borderId="10" xfId="0" quotePrefix="1" applyFill="1" applyBorder="1" applyAlignment="1">
      <alignment horizontal="center" vertical="center" wrapText="1"/>
    </xf>
    <xf numFmtId="0" fontId="0" fillId="7" borderId="1" xfId="0" quotePrefix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0" xfId="0" quotePrefix="1" applyFont="1" applyFill="1" applyBorder="1" applyAlignment="1">
      <alignment horizontal="center" vertical="center" wrapText="1"/>
    </xf>
    <xf numFmtId="0" fontId="0" fillId="7" borderId="1" xfId="0" quotePrefix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6" xfId="0" applyFont="1" applyFill="1" applyBorder="1" applyAlignment="1">
      <alignment horizontal="center" vertical="center" wrapText="1"/>
    </xf>
    <xf numFmtId="0" fontId="0" fillId="7" borderId="17" xfId="0" quotePrefix="1" applyFill="1" applyBorder="1" applyAlignment="1">
      <alignment horizontal="center" vertical="center" wrapText="1"/>
    </xf>
    <xf numFmtId="0" fontId="0" fillId="7" borderId="18" xfId="0" quotePrefix="1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52" xfId="0" applyFill="1" applyBorder="1" applyAlignment="1">
      <alignment horizontal="center" vertical="center" wrapText="1"/>
    </xf>
    <xf numFmtId="0" fontId="0" fillId="7" borderId="15" xfId="0" quotePrefix="1" applyFill="1" applyBorder="1" applyAlignment="1">
      <alignment horizontal="center" vertical="center" wrapText="1"/>
    </xf>
    <xf numFmtId="0" fontId="0" fillId="7" borderId="5" xfId="0" quotePrefix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38" xfId="0" quotePrefix="1" applyFill="1" applyBorder="1" applyAlignment="1">
      <alignment horizontal="center" vertical="center" wrapText="1"/>
    </xf>
    <xf numFmtId="0" fontId="0" fillId="7" borderId="6" xfId="0" quotePrefix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69" xfId="0" applyFill="1" applyBorder="1" applyAlignment="1">
      <alignment horizontal="center" vertical="center"/>
    </xf>
    <xf numFmtId="0" fontId="0" fillId="0" borderId="69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23" xfId="0" quotePrefix="1" applyFill="1" applyBorder="1" applyAlignment="1">
      <alignment horizontal="center" vertical="center" wrapText="1"/>
    </xf>
    <xf numFmtId="0" fontId="0" fillId="0" borderId="32" xfId="0" quotePrefix="1" applyFill="1" applyBorder="1" applyAlignment="1">
      <alignment horizontal="center" vertical="center" wrapText="1"/>
    </xf>
    <xf numFmtId="0" fontId="0" fillId="0" borderId="26" xfId="0" quotePrefix="1" applyBorder="1" applyAlignment="1">
      <alignment horizontal="center" vertical="center" wrapText="1"/>
    </xf>
    <xf numFmtId="0" fontId="0" fillId="0" borderId="27" xfId="0" quotePrefix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0" borderId="29" xfId="0" applyFill="1" applyBorder="1"/>
    <xf numFmtId="0" fontId="0" fillId="7" borderId="45" xfId="0" applyFill="1" applyBorder="1" applyAlignment="1">
      <alignment horizontal="center" vertical="center"/>
    </xf>
    <xf numFmtId="0" fontId="0" fillId="7" borderId="26" xfId="0" quotePrefix="1" applyFill="1" applyBorder="1" applyAlignment="1">
      <alignment horizontal="center" vertical="center" wrapText="1"/>
    </xf>
    <xf numFmtId="0" fontId="0" fillId="7" borderId="27" xfId="0" quotePrefix="1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49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59" xfId="0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7" borderId="62" xfId="0" applyFill="1" applyBorder="1" applyAlignment="1">
      <alignment horizontal="center" vertical="center" wrapText="1"/>
    </xf>
    <xf numFmtId="0" fontId="0" fillId="0" borderId="7" xfId="0" quotePrefix="1" applyFill="1" applyBorder="1" applyAlignment="1">
      <alignment horizontal="center" vertical="center" wrapText="1"/>
    </xf>
    <xf numFmtId="0" fontId="0" fillId="0" borderId="68" xfId="0" quotePrefix="1" applyFill="1" applyBorder="1" applyAlignment="1">
      <alignment horizontal="center" vertical="center" wrapText="1"/>
    </xf>
    <xf numFmtId="0" fontId="0" fillId="0" borderId="59" xfId="0" quotePrefix="1" applyFill="1" applyBorder="1" applyAlignment="1">
      <alignment horizontal="center" vertical="center" wrapText="1"/>
    </xf>
    <xf numFmtId="0" fontId="0" fillId="0" borderId="60" xfId="0" quotePrefix="1" applyFill="1" applyBorder="1" applyAlignment="1">
      <alignment horizontal="center" vertical="center" wrapText="1"/>
    </xf>
    <xf numFmtId="0" fontId="0" fillId="0" borderId="42" xfId="0" quotePrefix="1" applyFill="1" applyBorder="1" applyAlignment="1">
      <alignment horizontal="center" vertical="center" wrapText="1"/>
    </xf>
    <xf numFmtId="0" fontId="0" fillId="0" borderId="62" xfId="0" quotePrefix="1" applyFill="1" applyBorder="1" applyAlignment="1">
      <alignment horizontal="center" vertical="center" wrapText="1"/>
    </xf>
    <xf numFmtId="0" fontId="0" fillId="0" borderId="25" xfId="0" quotePrefix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59" xfId="0" quotePrefix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7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7" fillId="7" borderId="67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7" fillId="7" borderId="49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 wrapText="1"/>
    </xf>
    <xf numFmtId="0" fontId="0" fillId="7" borderId="47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0" fontId="14" fillId="2" borderId="7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0" fontId="0" fillId="2" borderId="5" xfId="0" applyFill="1" applyBorder="1"/>
    <xf numFmtId="0" fontId="0" fillId="2" borderId="22" xfId="0" applyFill="1" applyBorder="1"/>
    <xf numFmtId="0" fontId="0" fillId="2" borderId="47" xfId="0" applyFill="1" applyBorder="1" applyAlignment="1">
      <alignment horizontal="center" vertical="center"/>
    </xf>
    <xf numFmtId="0" fontId="0" fillId="2" borderId="59" xfId="0" applyFill="1" applyBorder="1"/>
    <xf numFmtId="0" fontId="0" fillId="2" borderId="30" xfId="0" applyFill="1" applyBorder="1"/>
    <xf numFmtId="0" fontId="0" fillId="2" borderId="42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/>
    </xf>
    <xf numFmtId="0" fontId="9" fillId="2" borderId="62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53" xfId="0" applyFont="1" applyFill="1" applyBorder="1" applyAlignment="1">
      <alignment horizontal="center"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4" xfId="0" applyFont="1" applyFill="1" applyBorder="1" applyAlignment="1">
      <alignment horizontal="center" vertical="center" wrapText="1"/>
    </xf>
    <xf numFmtId="0" fontId="12" fillId="0" borderId="53" xfId="0" applyFont="1" applyFill="1" applyBorder="1" applyAlignment="1">
      <alignment horizontal="center" vertical="center" wrapText="1"/>
    </xf>
    <xf numFmtId="0" fontId="12" fillId="0" borderId="56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CC"/>
      <color rgb="FFFFC9FF"/>
      <color rgb="FFFF8FFF"/>
      <color rgb="FF993366"/>
      <color rgb="FFB48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71"/>
  <sheetViews>
    <sheetView tabSelected="1" zoomScale="76" zoomScaleNormal="76" workbookViewId="0">
      <pane xSplit="7" ySplit="2" topLeftCell="H3" activePane="bottomRight" state="frozen"/>
      <selection pane="topRight" activeCell="H1" sqref="H1"/>
      <selection pane="bottomLeft" activeCell="A9" sqref="A9"/>
      <selection pane="bottomRight" activeCell="S7" sqref="S7"/>
    </sheetView>
  </sheetViews>
  <sheetFormatPr defaultRowHeight="14.5" x14ac:dyDescent="0.35"/>
  <cols>
    <col min="1" max="1" width="1.90625" style="1" customWidth="1"/>
    <col min="2" max="2" width="8.7265625" style="1"/>
    <col min="3" max="3" width="31.26953125" style="1" bestFit="1" customWidth="1"/>
    <col min="4" max="4" width="19.6328125" style="1" customWidth="1"/>
    <col min="5" max="5" width="4.54296875" style="1" bestFit="1" customWidth="1"/>
    <col min="6" max="6" width="11.26953125" style="1" customWidth="1"/>
    <col min="7" max="7" width="11.1796875" style="1" customWidth="1"/>
    <col min="8" max="8" width="12.6328125" style="1" bestFit="1" customWidth="1"/>
    <col min="9" max="9" width="13.7265625" style="1" bestFit="1" customWidth="1"/>
    <col min="10" max="10" width="10.36328125" style="1" bestFit="1" customWidth="1"/>
    <col min="11" max="11" width="13.7265625" style="1" bestFit="1" customWidth="1"/>
    <col min="12" max="12" width="13.7265625" style="1" customWidth="1"/>
    <col min="13" max="13" width="11.08984375" style="1" bestFit="1" customWidth="1"/>
    <col min="14" max="14" width="11.7265625" style="1" bestFit="1" customWidth="1"/>
    <col min="15" max="15" width="9.26953125" style="1" bestFit="1" customWidth="1"/>
    <col min="16" max="16" width="5.90625" style="1" bestFit="1" customWidth="1"/>
    <col min="17" max="17" width="9.81640625" style="1" bestFit="1" customWidth="1"/>
    <col min="18" max="18" width="14.08984375" style="1" bestFit="1" customWidth="1"/>
    <col min="19" max="16384" width="8.7265625" style="1"/>
  </cols>
  <sheetData>
    <row r="1" spans="2:19" ht="26" customHeight="1" x14ac:dyDescent="0.35">
      <c r="B1" s="327" t="s">
        <v>54</v>
      </c>
      <c r="C1" s="329"/>
      <c r="D1" s="329"/>
      <c r="E1" s="328"/>
      <c r="F1" s="327" t="s">
        <v>49</v>
      </c>
      <c r="G1" s="329"/>
      <c r="H1" s="328"/>
      <c r="I1" s="327" t="s">
        <v>50</v>
      </c>
      <c r="J1" s="329"/>
      <c r="K1" s="328"/>
      <c r="L1" s="326"/>
      <c r="M1" s="13"/>
      <c r="N1" s="17"/>
      <c r="O1" s="327"/>
      <c r="P1" s="328"/>
      <c r="Q1" s="12"/>
      <c r="R1" s="371" t="s">
        <v>110</v>
      </c>
      <c r="S1" s="44"/>
    </row>
    <row r="2" spans="2:19" ht="24.5" customHeight="1" x14ac:dyDescent="0.35">
      <c r="B2" s="3" t="s">
        <v>46</v>
      </c>
      <c r="C2" s="3" t="s">
        <v>55</v>
      </c>
      <c r="D2" s="3" t="s">
        <v>53</v>
      </c>
      <c r="E2" s="3" t="s">
        <v>132</v>
      </c>
      <c r="F2" s="3" t="s">
        <v>47</v>
      </c>
      <c r="G2" s="3" t="s">
        <v>48</v>
      </c>
      <c r="H2" s="3" t="s">
        <v>147</v>
      </c>
      <c r="I2" s="3" t="s">
        <v>51</v>
      </c>
      <c r="J2" s="3" t="s">
        <v>52</v>
      </c>
      <c r="K2" s="3" t="s">
        <v>716</v>
      </c>
      <c r="L2" s="3" t="s">
        <v>769</v>
      </c>
      <c r="M2" s="3" t="s">
        <v>153</v>
      </c>
      <c r="N2" s="3" t="s">
        <v>137</v>
      </c>
      <c r="O2" s="12" t="s">
        <v>57</v>
      </c>
      <c r="P2" s="17" t="s">
        <v>117</v>
      </c>
      <c r="Q2" s="12" t="s">
        <v>144</v>
      </c>
      <c r="R2" s="372"/>
      <c r="S2" s="44"/>
    </row>
    <row r="3" spans="2:19" ht="14" customHeight="1" x14ac:dyDescent="0.35">
      <c r="B3" s="2">
        <v>1</v>
      </c>
      <c r="C3" s="2" t="s">
        <v>0</v>
      </c>
      <c r="D3" s="14"/>
      <c r="E3" s="14" t="s">
        <v>133</v>
      </c>
      <c r="F3" s="2">
        <v>50</v>
      </c>
      <c r="G3" s="2"/>
      <c r="H3" s="2"/>
      <c r="I3" s="2"/>
      <c r="J3" s="2"/>
      <c r="K3" s="2"/>
      <c r="L3" s="2"/>
      <c r="M3" s="2">
        <f>(F3*12)+(G3*4)+(H3*12)+(I3*7)+(J3*2)+(K3*12)+(L3*12)</f>
        <v>600</v>
      </c>
      <c r="N3" s="2">
        <f>SUM(J3,I3,G3,F3,H3,K3,L3)</f>
        <v>50</v>
      </c>
      <c r="O3" s="2">
        <f>295+100</f>
        <v>395</v>
      </c>
      <c r="P3" s="2">
        <f>O3-M3</f>
        <v>-205</v>
      </c>
      <c r="Q3" s="2"/>
      <c r="R3" s="100"/>
    </row>
    <row r="4" spans="2:19" x14ac:dyDescent="0.35">
      <c r="B4" s="2">
        <v>2</v>
      </c>
      <c r="C4" s="2" t="s">
        <v>1</v>
      </c>
      <c r="D4" s="14"/>
      <c r="E4" s="14" t="s">
        <v>133</v>
      </c>
      <c r="F4" s="2">
        <v>50</v>
      </c>
      <c r="G4" s="2"/>
      <c r="H4" s="2"/>
      <c r="I4" s="2"/>
      <c r="J4" s="2"/>
      <c r="K4" s="2"/>
      <c r="L4" s="2"/>
      <c r="M4" s="2">
        <f t="shared" ref="M4:M21" si="0">(F4*12)+(G4*4)+(H4*12)+(I4*7)+(J4*2)+(K4*12)+(L4*12)</f>
        <v>600</v>
      </c>
      <c r="N4" s="2">
        <f t="shared" ref="N4:N66" si="1">SUM(J4,I4,G4,F4,H4,K4,L4)</f>
        <v>50</v>
      </c>
      <c r="O4" s="2">
        <v>142</v>
      </c>
      <c r="P4" s="2">
        <f t="shared" ref="P4:P70" si="2">O4-M4</f>
        <v>-458</v>
      </c>
      <c r="Q4" s="2"/>
      <c r="R4" s="100"/>
    </row>
    <row r="5" spans="2:19" x14ac:dyDescent="0.35">
      <c r="B5" s="2">
        <v>3</v>
      </c>
      <c r="C5" s="2" t="s">
        <v>2</v>
      </c>
      <c r="D5" s="14"/>
      <c r="E5" s="14" t="s">
        <v>133</v>
      </c>
      <c r="F5" s="2">
        <v>150</v>
      </c>
      <c r="G5" s="2">
        <v>100</v>
      </c>
      <c r="H5" s="2"/>
      <c r="I5" s="2"/>
      <c r="J5" s="2">
        <v>52</v>
      </c>
      <c r="K5" s="2"/>
      <c r="L5" s="2"/>
      <c r="M5" s="2">
        <f t="shared" si="0"/>
        <v>2304</v>
      </c>
      <c r="N5" s="2">
        <f t="shared" si="1"/>
        <v>302</v>
      </c>
      <c r="O5" s="2">
        <v>210</v>
      </c>
      <c r="P5" s="2">
        <f t="shared" si="2"/>
        <v>-2094</v>
      </c>
      <c r="Q5" s="2"/>
      <c r="R5" s="100"/>
    </row>
    <row r="6" spans="2:19" x14ac:dyDescent="0.35">
      <c r="B6" s="2">
        <v>4</v>
      </c>
      <c r="C6" s="2" t="s">
        <v>3</v>
      </c>
      <c r="D6" s="14"/>
      <c r="E6" s="14" t="s">
        <v>133</v>
      </c>
      <c r="F6" s="2">
        <v>75</v>
      </c>
      <c r="G6" s="2">
        <v>150</v>
      </c>
      <c r="H6" s="2"/>
      <c r="I6" s="2">
        <v>26</v>
      </c>
      <c r="J6" s="2">
        <v>26</v>
      </c>
      <c r="K6" s="2"/>
      <c r="L6" s="2"/>
      <c r="M6" s="2">
        <f t="shared" si="0"/>
        <v>1734</v>
      </c>
      <c r="N6" s="2">
        <f t="shared" si="1"/>
        <v>277</v>
      </c>
      <c r="O6" s="2">
        <v>625</v>
      </c>
      <c r="P6" s="2">
        <f t="shared" si="2"/>
        <v>-1109</v>
      </c>
      <c r="Q6" s="2"/>
      <c r="R6" s="100"/>
    </row>
    <row r="7" spans="2:19" x14ac:dyDescent="0.35">
      <c r="B7" s="2">
        <v>5</v>
      </c>
      <c r="C7" s="2" t="s">
        <v>4</v>
      </c>
      <c r="D7" s="14"/>
      <c r="E7" s="14" t="s">
        <v>133</v>
      </c>
      <c r="F7" s="2">
        <v>100</v>
      </c>
      <c r="G7" s="2">
        <v>50</v>
      </c>
      <c r="H7" s="2"/>
      <c r="I7" s="2">
        <v>78</v>
      </c>
      <c r="J7" s="2">
        <v>52</v>
      </c>
      <c r="K7" s="2"/>
      <c r="L7" s="2"/>
      <c r="M7" s="2">
        <f t="shared" si="0"/>
        <v>2050</v>
      </c>
      <c r="N7" s="2">
        <f t="shared" si="1"/>
        <v>280</v>
      </c>
      <c r="O7" s="2">
        <v>1195</v>
      </c>
      <c r="P7" s="2">
        <f>O7-M7</f>
        <v>-855</v>
      </c>
      <c r="Q7" s="2"/>
      <c r="R7" s="100"/>
    </row>
    <row r="8" spans="2:19" ht="12.5" customHeight="1" x14ac:dyDescent="0.35">
      <c r="B8" s="2">
        <v>6</v>
      </c>
      <c r="C8" s="2" t="s">
        <v>5</v>
      </c>
      <c r="D8" s="14"/>
      <c r="E8" s="14" t="s">
        <v>133</v>
      </c>
      <c r="F8" s="2">
        <v>100</v>
      </c>
      <c r="G8" s="2">
        <v>100</v>
      </c>
      <c r="H8" s="2"/>
      <c r="I8" s="2"/>
      <c r="J8" s="2"/>
      <c r="K8" s="2"/>
      <c r="L8" s="2"/>
      <c r="M8" s="2">
        <f t="shared" si="0"/>
        <v>1600</v>
      </c>
      <c r="N8" s="2">
        <f t="shared" si="1"/>
        <v>200</v>
      </c>
      <c r="O8" s="2">
        <v>860</v>
      </c>
      <c r="P8" s="2">
        <f t="shared" si="2"/>
        <v>-740</v>
      </c>
      <c r="Q8" s="2"/>
      <c r="R8" s="100"/>
    </row>
    <row r="9" spans="2:19" x14ac:dyDescent="0.35">
      <c r="B9" s="2">
        <v>7</v>
      </c>
      <c r="C9" s="2" t="s">
        <v>36</v>
      </c>
      <c r="D9" s="2"/>
      <c r="E9" s="14" t="s">
        <v>133</v>
      </c>
      <c r="F9" s="2">
        <v>25</v>
      </c>
      <c r="G9" s="2"/>
      <c r="H9" s="2"/>
      <c r="I9" s="2"/>
      <c r="J9" s="2"/>
      <c r="K9" s="2"/>
      <c r="L9" s="2"/>
      <c r="M9" s="2">
        <f t="shared" si="0"/>
        <v>300</v>
      </c>
      <c r="N9" s="2">
        <f t="shared" si="1"/>
        <v>25</v>
      </c>
      <c r="O9" s="2">
        <v>0</v>
      </c>
      <c r="P9" s="2">
        <f t="shared" si="2"/>
        <v>-300</v>
      </c>
      <c r="Q9" s="2"/>
      <c r="R9" s="2"/>
    </row>
    <row r="10" spans="2:19" x14ac:dyDescent="0.35">
      <c r="B10" s="2">
        <v>8</v>
      </c>
      <c r="C10" s="2" t="s">
        <v>7</v>
      </c>
      <c r="D10" s="14"/>
      <c r="E10" s="14" t="s">
        <v>133</v>
      </c>
      <c r="F10" s="2"/>
      <c r="G10" s="2">
        <v>25</v>
      </c>
      <c r="H10" s="2"/>
      <c r="I10" s="2"/>
      <c r="J10" s="2"/>
      <c r="K10" s="2"/>
      <c r="L10" s="2"/>
      <c r="M10" s="2">
        <f t="shared" si="0"/>
        <v>100</v>
      </c>
      <c r="N10" s="2">
        <f t="shared" si="1"/>
        <v>25</v>
      </c>
      <c r="O10" s="2">
        <f>127</f>
        <v>127</v>
      </c>
      <c r="P10" s="2">
        <f t="shared" si="2"/>
        <v>27</v>
      </c>
      <c r="Q10" s="2"/>
      <c r="R10" s="2"/>
    </row>
    <row r="11" spans="2:19" x14ac:dyDescent="0.35">
      <c r="B11" s="2">
        <v>9</v>
      </c>
      <c r="C11" s="2" t="s">
        <v>6</v>
      </c>
      <c r="D11" s="14"/>
      <c r="E11" s="14" t="s">
        <v>133</v>
      </c>
      <c r="F11" s="2"/>
      <c r="G11" s="2">
        <v>25</v>
      </c>
      <c r="H11" s="2"/>
      <c r="I11" s="2"/>
      <c r="J11" s="2"/>
      <c r="K11" s="2"/>
      <c r="L11" s="2"/>
      <c r="M11" s="2">
        <f t="shared" si="0"/>
        <v>100</v>
      </c>
      <c r="N11" s="2">
        <f t="shared" si="1"/>
        <v>25</v>
      </c>
      <c r="O11" s="2">
        <f>178-3</f>
        <v>175</v>
      </c>
      <c r="P11" s="2">
        <f t="shared" si="2"/>
        <v>75</v>
      </c>
      <c r="Q11" s="2"/>
      <c r="R11" s="2"/>
    </row>
    <row r="12" spans="2:19" x14ac:dyDescent="0.35">
      <c r="B12" s="2">
        <v>10</v>
      </c>
      <c r="C12" s="2" t="s">
        <v>8</v>
      </c>
      <c r="D12" s="14"/>
      <c r="E12" s="14" t="s">
        <v>133</v>
      </c>
      <c r="F12" s="2"/>
      <c r="G12" s="2"/>
      <c r="H12" s="2"/>
      <c r="I12" s="2">
        <v>26</v>
      </c>
      <c r="J12" s="2"/>
      <c r="K12" s="2"/>
      <c r="L12" s="2"/>
      <c r="M12" s="2">
        <f t="shared" si="0"/>
        <v>182</v>
      </c>
      <c r="N12" s="2">
        <f t="shared" si="1"/>
        <v>26</v>
      </c>
      <c r="O12" s="2">
        <v>328</v>
      </c>
      <c r="P12" s="2">
        <f t="shared" si="2"/>
        <v>146</v>
      </c>
      <c r="Q12" s="2"/>
      <c r="R12" s="2"/>
    </row>
    <row r="13" spans="2:19" x14ac:dyDescent="0.35">
      <c r="B13" s="2">
        <v>11</v>
      </c>
      <c r="C13" s="2" t="s">
        <v>9</v>
      </c>
      <c r="D13" s="14"/>
      <c r="E13" s="14" t="s">
        <v>133</v>
      </c>
      <c r="F13" s="2"/>
      <c r="G13" s="2"/>
      <c r="H13" s="2"/>
      <c r="I13" s="2"/>
      <c r="J13" s="2"/>
      <c r="K13" s="2"/>
      <c r="L13" s="2"/>
      <c r="M13" s="2">
        <f t="shared" si="0"/>
        <v>0</v>
      </c>
      <c r="N13" s="2">
        <f t="shared" si="1"/>
        <v>0</v>
      </c>
      <c r="O13" s="2">
        <f>105-3</f>
        <v>102</v>
      </c>
      <c r="P13" s="2">
        <f t="shared" si="2"/>
        <v>102</v>
      </c>
      <c r="Q13" s="2"/>
      <c r="R13" s="2"/>
    </row>
    <row r="14" spans="2:19" x14ac:dyDescent="0.35">
      <c r="B14" s="2">
        <v>12</v>
      </c>
      <c r="C14" s="2" t="s">
        <v>764</v>
      </c>
      <c r="D14" s="14" t="s">
        <v>765</v>
      </c>
      <c r="E14" s="14" t="s">
        <v>133</v>
      </c>
      <c r="F14" s="2"/>
      <c r="G14" s="2"/>
      <c r="H14" s="2"/>
      <c r="I14" s="2"/>
      <c r="J14" s="2"/>
      <c r="K14" s="2"/>
      <c r="L14" s="2"/>
      <c r="M14" s="2">
        <f t="shared" si="0"/>
        <v>0</v>
      </c>
      <c r="N14" s="2">
        <f>SUM(J14,I14,G14,F14,H14,K14,L14)</f>
        <v>0</v>
      </c>
      <c r="O14" s="2">
        <v>55</v>
      </c>
      <c r="P14" s="2"/>
      <c r="Q14" s="2"/>
      <c r="R14" s="2"/>
    </row>
    <row r="15" spans="2:19" x14ac:dyDescent="0.35">
      <c r="B15" s="2">
        <v>13</v>
      </c>
      <c r="C15" s="2" t="s">
        <v>764</v>
      </c>
      <c r="D15" s="14" t="s">
        <v>766</v>
      </c>
      <c r="E15" s="14" t="s">
        <v>133</v>
      </c>
      <c r="F15" s="2"/>
      <c r="G15" s="2"/>
      <c r="H15" s="2"/>
      <c r="I15" s="2"/>
      <c r="J15" s="2"/>
      <c r="K15" s="2"/>
      <c r="L15" s="2"/>
      <c r="M15" s="2">
        <f t="shared" si="0"/>
        <v>0</v>
      </c>
      <c r="N15" s="2">
        <f t="shared" si="1"/>
        <v>0</v>
      </c>
      <c r="O15" s="2">
        <v>94</v>
      </c>
      <c r="P15" s="2"/>
      <c r="Q15" s="2"/>
      <c r="R15" s="2"/>
    </row>
    <row r="16" spans="2:19" x14ac:dyDescent="0.35">
      <c r="B16" s="2">
        <v>14</v>
      </c>
      <c r="C16" s="2" t="s">
        <v>154</v>
      </c>
      <c r="D16" s="14" t="s">
        <v>155</v>
      </c>
      <c r="E16" s="14" t="s">
        <v>133</v>
      </c>
      <c r="F16" s="2"/>
      <c r="G16" s="2"/>
      <c r="H16" s="2">
        <v>25</v>
      </c>
      <c r="I16" s="2"/>
      <c r="J16" s="2"/>
      <c r="K16" s="2"/>
      <c r="L16" s="2"/>
      <c r="M16" s="2">
        <f t="shared" si="0"/>
        <v>300</v>
      </c>
      <c r="N16" s="2">
        <f t="shared" si="1"/>
        <v>25</v>
      </c>
      <c r="O16" s="2">
        <v>125</v>
      </c>
      <c r="P16" s="2">
        <f t="shared" si="2"/>
        <v>-175</v>
      </c>
      <c r="Q16" s="2"/>
      <c r="R16" s="100"/>
    </row>
    <row r="17" spans="2:19" x14ac:dyDescent="0.35">
      <c r="B17" s="2">
        <v>15</v>
      </c>
      <c r="C17" s="2" t="s">
        <v>156</v>
      </c>
      <c r="D17" s="14" t="s">
        <v>155</v>
      </c>
      <c r="E17" s="14" t="s">
        <v>133</v>
      </c>
      <c r="F17" s="2"/>
      <c r="G17" s="2"/>
      <c r="H17" s="2">
        <v>25</v>
      </c>
      <c r="I17" s="2"/>
      <c r="J17" s="2"/>
      <c r="K17" s="2"/>
      <c r="L17" s="2"/>
      <c r="M17" s="2">
        <f t="shared" si="0"/>
        <v>300</v>
      </c>
      <c r="N17" s="2">
        <f t="shared" si="1"/>
        <v>25</v>
      </c>
      <c r="O17" s="2">
        <v>125</v>
      </c>
      <c r="P17" s="2">
        <f t="shared" si="2"/>
        <v>-175</v>
      </c>
      <c r="Q17" s="2"/>
      <c r="R17" s="100"/>
    </row>
    <row r="18" spans="2:19" x14ac:dyDescent="0.35">
      <c r="B18" s="2">
        <v>16</v>
      </c>
      <c r="C18" s="323" t="s">
        <v>37</v>
      </c>
      <c r="D18" s="323" t="s">
        <v>149</v>
      </c>
      <c r="E18" s="323" t="s">
        <v>133</v>
      </c>
      <c r="F18" s="323">
        <v>75</v>
      </c>
      <c r="G18" s="323"/>
      <c r="H18" s="323"/>
      <c r="I18" s="323"/>
      <c r="J18" s="323"/>
      <c r="K18" s="323"/>
      <c r="L18" s="323"/>
      <c r="M18" s="322">
        <f t="shared" si="0"/>
        <v>900</v>
      </c>
      <c r="N18" s="322">
        <f t="shared" si="1"/>
        <v>75</v>
      </c>
      <c r="O18" s="323">
        <f>205-130-75</f>
        <v>0</v>
      </c>
      <c r="P18" s="323">
        <f t="shared" ref="P18:P32" si="3">O18-M18</f>
        <v>-900</v>
      </c>
      <c r="Q18" s="325"/>
      <c r="R18" s="322"/>
    </row>
    <row r="19" spans="2:19" s="40" customFormat="1" x14ac:dyDescent="0.35">
      <c r="B19" s="2">
        <v>17</v>
      </c>
      <c r="C19" s="323" t="s">
        <v>38</v>
      </c>
      <c r="D19" s="323" t="s">
        <v>149</v>
      </c>
      <c r="E19" s="323" t="s">
        <v>133</v>
      </c>
      <c r="F19" s="323">
        <v>25</v>
      </c>
      <c r="G19" s="323"/>
      <c r="H19" s="323"/>
      <c r="I19" s="323"/>
      <c r="J19" s="323"/>
      <c r="K19" s="323"/>
      <c r="L19" s="323"/>
      <c r="M19" s="322">
        <f t="shared" si="0"/>
        <v>300</v>
      </c>
      <c r="N19" s="322">
        <f t="shared" si="1"/>
        <v>25</v>
      </c>
      <c r="O19" s="323">
        <f>205+56-130-75</f>
        <v>56</v>
      </c>
      <c r="P19" s="323">
        <f t="shared" si="3"/>
        <v>-244</v>
      </c>
      <c r="Q19" s="325"/>
      <c r="R19" s="322"/>
    </row>
    <row r="20" spans="2:19" x14ac:dyDescent="0.35">
      <c r="B20" s="2">
        <v>18</v>
      </c>
      <c r="C20" s="15" t="s">
        <v>37</v>
      </c>
      <c r="D20" s="15" t="s">
        <v>158</v>
      </c>
      <c r="E20" s="15" t="s">
        <v>133</v>
      </c>
      <c r="F20" s="15"/>
      <c r="G20" s="15"/>
      <c r="H20" s="15">
        <v>25</v>
      </c>
      <c r="I20" s="15"/>
      <c r="J20" s="15"/>
      <c r="K20" s="15"/>
      <c r="L20" s="15"/>
      <c r="M20" s="2">
        <f t="shared" si="0"/>
        <v>300</v>
      </c>
      <c r="N20" s="2">
        <f t="shared" si="1"/>
        <v>25</v>
      </c>
      <c r="O20" s="15">
        <f>200-10-30</f>
        <v>160</v>
      </c>
      <c r="P20" s="15">
        <f t="shared" si="3"/>
        <v>-140</v>
      </c>
      <c r="Q20" s="14"/>
      <c r="R20" s="2"/>
    </row>
    <row r="21" spans="2:19" x14ac:dyDescent="0.35">
      <c r="B21" s="2">
        <v>19</v>
      </c>
      <c r="C21" s="15" t="s">
        <v>38</v>
      </c>
      <c r="D21" s="15" t="s">
        <v>158</v>
      </c>
      <c r="E21" s="15" t="s">
        <v>133</v>
      </c>
      <c r="F21" s="15"/>
      <c r="G21" s="15"/>
      <c r="H21" s="15">
        <v>25</v>
      </c>
      <c r="I21" s="15"/>
      <c r="J21" s="15"/>
      <c r="K21" s="15"/>
      <c r="L21" s="15"/>
      <c r="M21" s="2">
        <f t="shared" si="0"/>
        <v>300</v>
      </c>
      <c r="N21" s="2">
        <f t="shared" si="1"/>
        <v>25</v>
      </c>
      <c r="O21" s="15">
        <f>200-10-30</f>
        <v>160</v>
      </c>
      <c r="P21" s="15">
        <f t="shared" si="3"/>
        <v>-140</v>
      </c>
      <c r="Q21" s="14"/>
      <c r="R21" s="2"/>
    </row>
    <row r="22" spans="2:19" x14ac:dyDescent="0.35">
      <c r="B22" s="2">
        <v>20</v>
      </c>
      <c r="C22" s="15" t="s">
        <v>775</v>
      </c>
      <c r="D22" s="15"/>
      <c r="E22" s="15"/>
      <c r="F22" s="15"/>
      <c r="G22" s="15"/>
      <c r="H22" s="15"/>
      <c r="I22" s="15"/>
      <c r="J22" s="15"/>
      <c r="K22" s="15"/>
      <c r="L22" s="15"/>
      <c r="M22" s="2">
        <f>(F22*12)+(G22*4)+(H22*12)+(I22*7)+(J22*2)+(K22*12)+(L22*12)</f>
        <v>0</v>
      </c>
      <c r="N22" s="2"/>
      <c r="O22" s="15">
        <v>140</v>
      </c>
      <c r="P22" s="15"/>
      <c r="Q22" s="14"/>
      <c r="R22" s="2"/>
    </row>
    <row r="23" spans="2:19" x14ac:dyDescent="0.35">
      <c r="B23" s="2">
        <v>21</v>
      </c>
      <c r="C23" s="15" t="s">
        <v>165</v>
      </c>
      <c r="D23" s="15" t="s">
        <v>159</v>
      </c>
      <c r="E23" s="15" t="s">
        <v>133</v>
      </c>
      <c r="F23" s="15">
        <v>25</v>
      </c>
      <c r="G23" s="15"/>
      <c r="H23" s="15"/>
      <c r="I23" s="15"/>
      <c r="J23" s="15"/>
      <c r="K23" s="15"/>
      <c r="L23" s="15"/>
      <c r="M23" s="2">
        <f t="shared" ref="M23:M71" si="4">(F23*12)+(G23*4)+(H23*12)+(I23*7)+(J23*2)+(K23*12)+(L23*12)</f>
        <v>300</v>
      </c>
      <c r="N23" s="2">
        <f t="shared" si="1"/>
        <v>25</v>
      </c>
      <c r="O23" s="15">
        <v>75</v>
      </c>
      <c r="P23" s="15">
        <f t="shared" si="3"/>
        <v>-225</v>
      </c>
      <c r="Q23" s="14"/>
      <c r="R23" s="100"/>
    </row>
    <row r="24" spans="2:19" x14ac:dyDescent="0.35">
      <c r="B24" s="2">
        <v>22</v>
      </c>
      <c r="C24" s="15" t="s">
        <v>166</v>
      </c>
      <c r="D24" s="15" t="s">
        <v>159</v>
      </c>
      <c r="E24" s="15" t="s">
        <v>133</v>
      </c>
      <c r="F24" s="15"/>
      <c r="G24" s="15"/>
      <c r="H24" s="15">
        <v>25</v>
      </c>
      <c r="I24" s="15"/>
      <c r="J24" s="15"/>
      <c r="K24" s="15"/>
      <c r="L24" s="15"/>
      <c r="M24" s="2">
        <f t="shared" si="4"/>
        <v>300</v>
      </c>
      <c r="N24" s="2">
        <f t="shared" si="1"/>
        <v>25</v>
      </c>
      <c r="O24" s="15">
        <f>171-30</f>
        <v>141</v>
      </c>
      <c r="P24" s="15">
        <f t="shared" si="3"/>
        <v>-159</v>
      </c>
      <c r="Q24" s="14"/>
      <c r="R24" s="2"/>
    </row>
    <row r="25" spans="2:19" x14ac:dyDescent="0.35">
      <c r="B25" s="2">
        <v>23</v>
      </c>
      <c r="C25" s="15" t="s">
        <v>167</v>
      </c>
      <c r="D25" s="15" t="s">
        <v>159</v>
      </c>
      <c r="E25" s="15" t="s">
        <v>133</v>
      </c>
      <c r="F25" s="15"/>
      <c r="G25" s="15">
        <v>150</v>
      </c>
      <c r="H25" s="15"/>
      <c r="I25" s="15"/>
      <c r="J25" s="15"/>
      <c r="K25" s="15"/>
      <c r="L25" s="15"/>
      <c r="M25" s="2">
        <f t="shared" si="4"/>
        <v>600</v>
      </c>
      <c r="N25" s="2">
        <f t="shared" si="1"/>
        <v>150</v>
      </c>
      <c r="O25" s="15">
        <v>500</v>
      </c>
      <c r="P25" s="15">
        <f t="shared" si="3"/>
        <v>-100</v>
      </c>
      <c r="Q25" s="14"/>
      <c r="R25" s="100"/>
    </row>
    <row r="26" spans="2:19" s="40" customFormat="1" x14ac:dyDescent="0.35">
      <c r="B26" s="2">
        <v>24</v>
      </c>
      <c r="C26" s="15" t="s">
        <v>60</v>
      </c>
      <c r="D26" s="16" t="s">
        <v>39</v>
      </c>
      <c r="E26" s="14" t="s">
        <v>133</v>
      </c>
      <c r="F26" s="2">
        <v>25</v>
      </c>
      <c r="G26" s="2"/>
      <c r="H26" s="2"/>
      <c r="I26" s="2"/>
      <c r="J26" s="2"/>
      <c r="K26" s="2"/>
      <c r="L26" s="2"/>
      <c r="M26" s="2">
        <f t="shared" si="4"/>
        <v>300</v>
      </c>
      <c r="N26" s="2">
        <f t="shared" si="1"/>
        <v>25</v>
      </c>
      <c r="O26" s="2">
        <v>50</v>
      </c>
      <c r="P26" s="2">
        <f t="shared" si="3"/>
        <v>-250</v>
      </c>
      <c r="Q26" s="14"/>
      <c r="R26" s="100"/>
    </row>
    <row r="27" spans="2:19" s="40" customFormat="1" x14ac:dyDescent="0.35">
      <c r="B27" s="2">
        <v>25</v>
      </c>
      <c r="C27" s="15" t="s">
        <v>712</v>
      </c>
      <c r="D27" s="16" t="s">
        <v>713</v>
      </c>
      <c r="E27" s="14" t="s">
        <v>133</v>
      </c>
      <c r="F27" s="2"/>
      <c r="G27" s="2"/>
      <c r="H27" s="2"/>
      <c r="I27" s="2"/>
      <c r="J27" s="2"/>
      <c r="K27" s="2"/>
      <c r="L27" s="2"/>
      <c r="M27" s="2">
        <f t="shared" si="4"/>
        <v>0</v>
      </c>
      <c r="N27" s="2">
        <f t="shared" si="1"/>
        <v>0</v>
      </c>
      <c r="O27" s="2">
        <f>97+100</f>
        <v>197</v>
      </c>
      <c r="P27" s="2">
        <f t="shared" si="3"/>
        <v>197</v>
      </c>
      <c r="Q27" s="14"/>
      <c r="R27" s="100"/>
    </row>
    <row r="28" spans="2:19" x14ac:dyDescent="0.35">
      <c r="B28" s="2">
        <v>26</v>
      </c>
      <c r="C28" s="15" t="s">
        <v>40</v>
      </c>
      <c r="D28" s="16"/>
      <c r="E28" s="14" t="s">
        <v>133</v>
      </c>
      <c r="F28" s="2">
        <v>25</v>
      </c>
      <c r="G28" s="2"/>
      <c r="H28" s="2"/>
      <c r="I28" s="2"/>
      <c r="J28" s="2"/>
      <c r="K28" s="2"/>
      <c r="L28" s="2"/>
      <c r="M28" s="2">
        <f t="shared" si="4"/>
        <v>300</v>
      </c>
      <c r="N28" s="2">
        <f t="shared" si="1"/>
        <v>25</v>
      </c>
      <c r="O28" s="2">
        <v>68</v>
      </c>
      <c r="P28" s="2">
        <f t="shared" si="3"/>
        <v>-232</v>
      </c>
      <c r="Q28" s="14"/>
      <c r="R28" s="2"/>
    </row>
    <row r="29" spans="2:19" x14ac:dyDescent="0.35">
      <c r="B29" s="2">
        <v>27</v>
      </c>
      <c r="C29" s="15" t="s">
        <v>41</v>
      </c>
      <c r="D29" s="16" t="s">
        <v>42</v>
      </c>
      <c r="E29" s="14" t="s">
        <v>133</v>
      </c>
      <c r="F29" s="2">
        <v>0</v>
      </c>
      <c r="G29" s="2">
        <v>25</v>
      </c>
      <c r="H29" s="2"/>
      <c r="I29" s="2"/>
      <c r="J29" s="2"/>
      <c r="K29" s="2"/>
      <c r="L29" s="2"/>
      <c r="M29" s="2">
        <f t="shared" si="4"/>
        <v>100</v>
      </c>
      <c r="N29" s="2">
        <f t="shared" si="1"/>
        <v>25</v>
      </c>
      <c r="O29" s="2">
        <f>25-10+200-25-50</f>
        <v>140</v>
      </c>
      <c r="P29" s="2">
        <f t="shared" si="3"/>
        <v>40</v>
      </c>
      <c r="Q29" s="14"/>
      <c r="R29" s="100"/>
      <c r="S29" s="40"/>
    </row>
    <row r="30" spans="2:19" x14ac:dyDescent="0.35">
      <c r="B30" s="2">
        <v>28</v>
      </c>
      <c r="C30" s="15" t="s">
        <v>151</v>
      </c>
      <c r="D30" s="16" t="s">
        <v>152</v>
      </c>
      <c r="E30" s="14" t="s">
        <v>133</v>
      </c>
      <c r="F30" s="2"/>
      <c r="G30" s="2"/>
      <c r="H30" s="2">
        <v>25</v>
      </c>
      <c r="I30" s="2"/>
      <c r="J30" s="2"/>
      <c r="K30" s="2"/>
      <c r="L30" s="2"/>
      <c r="M30" s="2">
        <f t="shared" si="4"/>
        <v>300</v>
      </c>
      <c r="N30" s="2">
        <f t="shared" si="1"/>
        <v>25</v>
      </c>
      <c r="O30" s="2">
        <f>200-30</f>
        <v>170</v>
      </c>
      <c r="P30" s="2">
        <f t="shared" si="3"/>
        <v>-130</v>
      </c>
      <c r="Q30" s="14"/>
      <c r="R30" s="100"/>
      <c r="S30" s="40"/>
    </row>
    <row r="31" spans="2:19" x14ac:dyDescent="0.35">
      <c r="B31" s="2">
        <v>29</v>
      </c>
      <c r="C31" s="2" t="s">
        <v>61</v>
      </c>
      <c r="D31" s="16" t="s">
        <v>58</v>
      </c>
      <c r="E31" s="14" t="s">
        <v>133</v>
      </c>
      <c r="F31" s="2"/>
      <c r="G31" s="2">
        <v>25</v>
      </c>
      <c r="H31" s="2"/>
      <c r="I31" s="2"/>
      <c r="J31" s="2"/>
      <c r="K31" s="2"/>
      <c r="L31" s="2"/>
      <c r="M31" s="2">
        <f t="shared" si="4"/>
        <v>100</v>
      </c>
      <c r="N31" s="2">
        <f t="shared" si="1"/>
        <v>25</v>
      </c>
      <c r="O31" s="2">
        <v>19</v>
      </c>
      <c r="P31" s="2">
        <f t="shared" si="3"/>
        <v>-81</v>
      </c>
      <c r="Q31" s="14"/>
      <c r="R31" s="100"/>
    </row>
    <row r="32" spans="2:19" x14ac:dyDescent="0.35">
      <c r="B32" s="2">
        <v>30</v>
      </c>
      <c r="C32" s="2" t="s">
        <v>721</v>
      </c>
      <c r="D32" s="16" t="s">
        <v>58</v>
      </c>
      <c r="E32" s="14" t="s">
        <v>133</v>
      </c>
      <c r="F32" s="2"/>
      <c r="G32" s="2"/>
      <c r="H32" s="2"/>
      <c r="I32" s="2"/>
      <c r="J32" s="2"/>
      <c r="K32" s="2"/>
      <c r="L32" s="2"/>
      <c r="M32" s="2">
        <f t="shared" si="4"/>
        <v>0</v>
      </c>
      <c r="N32" s="2">
        <f t="shared" si="1"/>
        <v>0</v>
      </c>
      <c r="O32" s="2">
        <v>0</v>
      </c>
      <c r="P32" s="2">
        <f t="shared" si="3"/>
        <v>0</v>
      </c>
      <c r="Q32" s="14"/>
      <c r="R32" s="100"/>
    </row>
    <row r="33" spans="2:19" x14ac:dyDescent="0.35">
      <c r="B33" s="2">
        <v>31</v>
      </c>
      <c r="C33" s="2" t="s">
        <v>10</v>
      </c>
      <c r="D33" s="14" t="s">
        <v>11</v>
      </c>
      <c r="E33" s="14" t="s">
        <v>134</v>
      </c>
      <c r="F33" s="2">
        <v>0.15</v>
      </c>
      <c r="G33" s="2">
        <v>0.15</v>
      </c>
      <c r="H33" s="2"/>
      <c r="I33" s="2"/>
      <c r="J33" s="2"/>
      <c r="K33" s="2"/>
      <c r="L33" s="2"/>
      <c r="M33" s="2">
        <f t="shared" si="4"/>
        <v>2.4</v>
      </c>
      <c r="N33" s="2">
        <f t="shared" si="1"/>
        <v>0.3</v>
      </c>
      <c r="O33" s="159">
        <v>21</v>
      </c>
      <c r="P33" s="2">
        <f t="shared" si="2"/>
        <v>18.600000000000001</v>
      </c>
      <c r="Q33" s="14"/>
      <c r="R33" s="100"/>
      <c r="S33" s="40"/>
    </row>
    <row r="34" spans="2:19" x14ac:dyDescent="0.35">
      <c r="B34" s="2">
        <v>32</v>
      </c>
      <c r="C34" s="2" t="s">
        <v>10</v>
      </c>
      <c r="D34" s="14" t="s">
        <v>12</v>
      </c>
      <c r="E34" s="14" t="s">
        <v>134</v>
      </c>
      <c r="F34" s="2">
        <v>0.15</v>
      </c>
      <c r="G34" s="2">
        <v>0.25</v>
      </c>
      <c r="H34" s="2"/>
      <c r="I34" s="2"/>
      <c r="J34" s="2"/>
      <c r="K34" s="2"/>
      <c r="L34" s="2"/>
      <c r="M34" s="2">
        <f t="shared" si="4"/>
        <v>2.8</v>
      </c>
      <c r="N34" s="2">
        <f t="shared" si="1"/>
        <v>0.4</v>
      </c>
      <c r="O34" s="159">
        <v>3</v>
      </c>
      <c r="P34" s="2">
        <f t="shared" si="2"/>
        <v>0.20000000000000018</v>
      </c>
      <c r="Q34" s="14"/>
      <c r="R34" s="100"/>
    </row>
    <row r="35" spans="2:19" x14ac:dyDescent="0.35">
      <c r="B35" s="2">
        <v>33</v>
      </c>
      <c r="C35" s="2" t="s">
        <v>10</v>
      </c>
      <c r="D35" s="14" t="s">
        <v>611</v>
      </c>
      <c r="E35" s="14" t="s">
        <v>134</v>
      </c>
      <c r="F35" s="2"/>
      <c r="G35" s="2">
        <v>0.75</v>
      </c>
      <c r="H35" s="2"/>
      <c r="I35" s="2"/>
      <c r="J35" s="2"/>
      <c r="K35" s="2"/>
      <c r="L35" s="2"/>
      <c r="M35" s="2">
        <f t="shared" si="4"/>
        <v>3</v>
      </c>
      <c r="N35" s="2">
        <f t="shared" si="1"/>
        <v>0.75</v>
      </c>
      <c r="O35" s="2">
        <f>3+3</f>
        <v>6</v>
      </c>
      <c r="P35" s="2">
        <f t="shared" si="2"/>
        <v>3</v>
      </c>
      <c r="Q35" s="14"/>
      <c r="R35" s="100"/>
    </row>
    <row r="36" spans="2:19" x14ac:dyDescent="0.35">
      <c r="B36" s="2">
        <v>34</v>
      </c>
      <c r="C36" s="2" t="s">
        <v>10</v>
      </c>
      <c r="D36" s="14" t="s">
        <v>13</v>
      </c>
      <c r="E36" s="14" t="s">
        <v>134</v>
      </c>
      <c r="F36" s="2">
        <v>0.75</v>
      </c>
      <c r="G36" s="2">
        <v>0.25</v>
      </c>
      <c r="H36" s="2"/>
      <c r="I36" s="2"/>
      <c r="J36" s="2"/>
      <c r="K36" s="2"/>
      <c r="L36" s="2"/>
      <c r="M36" s="2">
        <f t="shared" si="4"/>
        <v>10</v>
      </c>
      <c r="N36" s="2">
        <f t="shared" si="1"/>
        <v>1</v>
      </c>
      <c r="O36" s="2">
        <v>3</v>
      </c>
      <c r="P36" s="2">
        <f t="shared" si="2"/>
        <v>-7</v>
      </c>
      <c r="Q36" s="14"/>
      <c r="R36" s="100"/>
    </row>
    <row r="37" spans="2:19" x14ac:dyDescent="0.35">
      <c r="B37" s="2">
        <v>35</v>
      </c>
      <c r="C37" s="2" t="s">
        <v>10</v>
      </c>
      <c r="D37" s="14" t="s">
        <v>14</v>
      </c>
      <c r="E37" s="14" t="s">
        <v>134</v>
      </c>
      <c r="F37" s="2">
        <v>0.85</v>
      </c>
      <c r="G37" s="2">
        <v>0.15</v>
      </c>
      <c r="H37" s="2"/>
      <c r="I37" s="2"/>
      <c r="J37" s="2"/>
      <c r="K37" s="2"/>
      <c r="L37" s="2"/>
      <c r="M37" s="2">
        <f t="shared" si="4"/>
        <v>10.799999999999999</v>
      </c>
      <c r="N37" s="2">
        <f t="shared" si="1"/>
        <v>1</v>
      </c>
      <c r="O37" s="2">
        <v>3</v>
      </c>
      <c r="P37" s="2">
        <f t="shared" si="2"/>
        <v>-7.7999999999999989</v>
      </c>
      <c r="Q37" s="14"/>
      <c r="R37" s="100"/>
    </row>
    <row r="38" spans="2:19" x14ac:dyDescent="0.35">
      <c r="B38" s="2">
        <v>36</v>
      </c>
      <c r="C38" s="2" t="s">
        <v>10</v>
      </c>
      <c r="D38" s="14" t="s">
        <v>15</v>
      </c>
      <c r="E38" s="14" t="s">
        <v>134</v>
      </c>
      <c r="F38" s="2">
        <v>0.5</v>
      </c>
      <c r="G38" s="2">
        <v>0.5</v>
      </c>
      <c r="H38" s="2"/>
      <c r="I38" s="2"/>
      <c r="J38" s="2"/>
      <c r="K38" s="2"/>
      <c r="L38" s="2"/>
      <c r="M38" s="2">
        <f t="shared" si="4"/>
        <v>8</v>
      </c>
      <c r="N38" s="2">
        <f t="shared" si="1"/>
        <v>1</v>
      </c>
      <c r="O38" s="2">
        <v>4</v>
      </c>
      <c r="P38" s="2">
        <f t="shared" si="2"/>
        <v>-4</v>
      </c>
      <c r="Q38" s="14"/>
      <c r="R38" s="100"/>
    </row>
    <row r="39" spans="2:19" x14ac:dyDescent="0.35">
      <c r="B39" s="2">
        <v>37</v>
      </c>
      <c r="C39" s="2" t="s">
        <v>10</v>
      </c>
      <c r="D39" s="14" t="s">
        <v>16</v>
      </c>
      <c r="E39" s="14" t="s">
        <v>134</v>
      </c>
      <c r="F39" s="2">
        <v>2.25</v>
      </c>
      <c r="G39" s="2">
        <v>5</v>
      </c>
      <c r="H39" s="2"/>
      <c r="I39" s="2"/>
      <c r="J39" s="2"/>
      <c r="K39" s="2"/>
      <c r="L39" s="2"/>
      <c r="M39" s="2">
        <f t="shared" si="4"/>
        <v>47</v>
      </c>
      <c r="N39" s="2">
        <f t="shared" si="1"/>
        <v>7.25</v>
      </c>
      <c r="O39" s="2">
        <v>28</v>
      </c>
      <c r="P39" s="2">
        <f t="shared" si="2"/>
        <v>-19</v>
      </c>
      <c r="Q39" s="14"/>
      <c r="R39" s="100"/>
    </row>
    <row r="40" spans="2:19" x14ac:dyDescent="0.35">
      <c r="B40" s="2">
        <v>38</v>
      </c>
      <c r="C40" s="2" t="s">
        <v>10</v>
      </c>
      <c r="D40" s="14" t="s">
        <v>17</v>
      </c>
      <c r="E40" s="14" t="s">
        <v>134</v>
      </c>
      <c r="F40" s="2">
        <v>0.75</v>
      </c>
      <c r="G40" s="2">
        <v>0.5</v>
      </c>
      <c r="H40" s="2">
        <v>0.3</v>
      </c>
      <c r="I40" s="2"/>
      <c r="J40" s="2"/>
      <c r="K40" s="2"/>
      <c r="L40" s="2"/>
      <c r="M40" s="2">
        <f t="shared" si="4"/>
        <v>14.6</v>
      </c>
      <c r="N40" s="2">
        <f t="shared" si="1"/>
        <v>1.55</v>
      </c>
      <c r="O40" s="2">
        <v>0</v>
      </c>
      <c r="P40" s="2">
        <f t="shared" si="2"/>
        <v>-14.6</v>
      </c>
      <c r="Q40" s="14"/>
      <c r="R40" s="100"/>
    </row>
    <row r="41" spans="2:19" x14ac:dyDescent="0.35">
      <c r="B41" s="2">
        <v>39</v>
      </c>
      <c r="C41" s="2" t="s">
        <v>10</v>
      </c>
      <c r="D41" s="14" t="s">
        <v>18</v>
      </c>
      <c r="E41" s="14" t="s">
        <v>134</v>
      </c>
      <c r="F41" s="2">
        <v>2.5</v>
      </c>
      <c r="G41" s="2">
        <v>1.5</v>
      </c>
      <c r="H41" s="2">
        <v>0.3</v>
      </c>
      <c r="I41" s="2"/>
      <c r="J41" s="2"/>
      <c r="K41" s="2"/>
      <c r="L41" s="2"/>
      <c r="M41" s="2">
        <f t="shared" si="4"/>
        <v>39.6</v>
      </c>
      <c r="N41" s="2">
        <f t="shared" si="1"/>
        <v>4.3</v>
      </c>
      <c r="O41" s="2">
        <v>6</v>
      </c>
      <c r="P41" s="2">
        <f t="shared" si="2"/>
        <v>-33.6</v>
      </c>
      <c r="Q41" s="14"/>
      <c r="R41" s="100"/>
    </row>
    <row r="42" spans="2:19" x14ac:dyDescent="0.35">
      <c r="B42" s="2">
        <v>40</v>
      </c>
      <c r="C42" s="2" t="s">
        <v>10</v>
      </c>
      <c r="D42" s="14" t="s">
        <v>19</v>
      </c>
      <c r="E42" s="14" t="s">
        <v>134</v>
      </c>
      <c r="F42" s="2">
        <v>3</v>
      </c>
      <c r="G42" s="2">
        <v>2</v>
      </c>
      <c r="H42" s="2">
        <v>0.3</v>
      </c>
      <c r="I42" s="2"/>
      <c r="J42" s="2"/>
      <c r="K42" s="2"/>
      <c r="L42" s="2"/>
      <c r="M42" s="2">
        <f t="shared" si="4"/>
        <v>47.6</v>
      </c>
      <c r="N42" s="2">
        <f t="shared" si="1"/>
        <v>5.3</v>
      </c>
      <c r="O42" s="2">
        <v>17</v>
      </c>
      <c r="P42" s="2">
        <f t="shared" si="2"/>
        <v>-30.6</v>
      </c>
      <c r="Q42" s="14"/>
      <c r="R42" s="100"/>
    </row>
    <row r="43" spans="2:19" x14ac:dyDescent="0.35">
      <c r="B43" s="2">
        <v>41</v>
      </c>
      <c r="C43" s="2" t="s">
        <v>10</v>
      </c>
      <c r="D43" s="14" t="s">
        <v>20</v>
      </c>
      <c r="E43" s="14" t="s">
        <v>134</v>
      </c>
      <c r="F43" s="2">
        <v>0.75</v>
      </c>
      <c r="G43" s="2">
        <v>0.2</v>
      </c>
      <c r="H43" s="2"/>
      <c r="I43" s="2"/>
      <c r="J43" s="2"/>
      <c r="K43" s="2"/>
      <c r="L43" s="2"/>
      <c r="M43" s="2">
        <f t="shared" si="4"/>
        <v>9.8000000000000007</v>
      </c>
      <c r="N43" s="2">
        <f t="shared" si="1"/>
        <v>0.95</v>
      </c>
      <c r="O43" s="2">
        <v>2</v>
      </c>
      <c r="P43" s="2">
        <f t="shared" si="2"/>
        <v>-7.8000000000000007</v>
      </c>
      <c r="Q43" s="14"/>
      <c r="R43" s="100"/>
    </row>
    <row r="44" spans="2:19" x14ac:dyDescent="0.35">
      <c r="B44" s="2">
        <v>42</v>
      </c>
      <c r="C44" s="2" t="s">
        <v>67</v>
      </c>
      <c r="D44" s="14" t="s">
        <v>17</v>
      </c>
      <c r="E44" s="14" t="s">
        <v>135</v>
      </c>
      <c r="F44" s="2"/>
      <c r="G44" s="2"/>
      <c r="H44" s="2"/>
      <c r="I44" s="2">
        <v>5</v>
      </c>
      <c r="J44" s="2">
        <v>5.5</v>
      </c>
      <c r="K44" s="2"/>
      <c r="L44" s="2"/>
      <c r="M44" s="2">
        <f t="shared" si="4"/>
        <v>46</v>
      </c>
      <c r="N44" s="2">
        <f t="shared" si="1"/>
        <v>10.5</v>
      </c>
      <c r="O44" s="2">
        <f>45-4.5-5.2-4.5+100-1.6-4.5</f>
        <v>124.70000000000002</v>
      </c>
      <c r="P44" s="2">
        <f t="shared" si="2"/>
        <v>78.700000000000017</v>
      </c>
      <c r="Q44" s="14"/>
      <c r="R44" s="100"/>
    </row>
    <row r="45" spans="2:19" x14ac:dyDescent="0.35">
      <c r="B45" s="2">
        <v>43</v>
      </c>
      <c r="C45" s="2" t="s">
        <v>68</v>
      </c>
      <c r="D45" s="14" t="s">
        <v>17</v>
      </c>
      <c r="E45" s="14" t="s">
        <v>135</v>
      </c>
      <c r="F45" s="2"/>
      <c r="G45" s="2"/>
      <c r="H45" s="2"/>
      <c r="I45" s="2">
        <v>8</v>
      </c>
      <c r="J45" s="2">
        <v>5.5</v>
      </c>
      <c r="K45" s="2"/>
      <c r="L45" s="2"/>
      <c r="M45" s="2">
        <f t="shared" si="4"/>
        <v>67</v>
      </c>
      <c r="N45" s="2">
        <f t="shared" si="1"/>
        <v>13.5</v>
      </c>
      <c r="O45" s="2">
        <f>85-7.5-5.2-7.5+100-1.6-7.5</f>
        <v>155.70000000000002</v>
      </c>
      <c r="P45" s="2">
        <f t="shared" si="2"/>
        <v>88.700000000000017</v>
      </c>
      <c r="Q45" s="14"/>
      <c r="R45" s="100"/>
    </row>
    <row r="46" spans="2:19" x14ac:dyDescent="0.35">
      <c r="B46" s="2">
        <v>44</v>
      </c>
      <c r="C46" s="2" t="s">
        <v>21</v>
      </c>
      <c r="D46" s="14" t="s">
        <v>22</v>
      </c>
      <c r="E46" s="14" t="s">
        <v>134</v>
      </c>
      <c r="F46" s="2">
        <v>1.25</v>
      </c>
      <c r="G46" s="2">
        <v>1.25</v>
      </c>
      <c r="H46" s="2">
        <v>0.2</v>
      </c>
      <c r="I46" s="2"/>
      <c r="J46" s="2"/>
      <c r="K46" s="2"/>
      <c r="L46" s="2"/>
      <c r="M46" s="2">
        <f t="shared" si="4"/>
        <v>22.4</v>
      </c>
      <c r="N46" s="2">
        <f t="shared" si="1"/>
        <v>2.7</v>
      </c>
      <c r="O46" s="2">
        <f>4+1</f>
        <v>5</v>
      </c>
      <c r="P46" s="2">
        <f t="shared" si="2"/>
        <v>-17.399999999999999</v>
      </c>
      <c r="Q46" s="14"/>
      <c r="R46" s="100"/>
    </row>
    <row r="47" spans="2:19" x14ac:dyDescent="0.35">
      <c r="B47" s="2">
        <v>45</v>
      </c>
      <c r="C47" s="2" t="s">
        <v>21</v>
      </c>
      <c r="D47" s="14" t="s">
        <v>23</v>
      </c>
      <c r="E47" s="14" t="s">
        <v>134</v>
      </c>
      <c r="F47" s="2">
        <v>0.25</v>
      </c>
      <c r="G47" s="2">
        <v>0.25</v>
      </c>
      <c r="H47" s="2"/>
      <c r="I47" s="2"/>
      <c r="J47" s="2"/>
      <c r="K47" s="2"/>
      <c r="L47" s="2"/>
      <c r="M47" s="2">
        <f t="shared" si="4"/>
        <v>4</v>
      </c>
      <c r="N47" s="2">
        <f t="shared" si="1"/>
        <v>0.5</v>
      </c>
      <c r="O47" s="2">
        <v>1</v>
      </c>
      <c r="P47" s="2">
        <f t="shared" si="2"/>
        <v>-3</v>
      </c>
      <c r="Q47" s="14"/>
      <c r="R47" s="100"/>
    </row>
    <row r="48" spans="2:19" x14ac:dyDescent="0.35">
      <c r="B48" s="2">
        <v>46</v>
      </c>
      <c r="C48" s="2" t="s">
        <v>21</v>
      </c>
      <c r="D48" s="14" t="s">
        <v>146</v>
      </c>
      <c r="E48" s="14" t="s">
        <v>134</v>
      </c>
      <c r="F48" s="2">
        <v>0.25</v>
      </c>
      <c r="G48" s="2">
        <v>0.25</v>
      </c>
      <c r="H48" s="2">
        <v>0.2</v>
      </c>
      <c r="I48" s="2"/>
      <c r="J48" s="2"/>
      <c r="K48" s="2"/>
      <c r="L48" s="2"/>
      <c r="M48" s="2">
        <f t="shared" si="4"/>
        <v>6.4</v>
      </c>
      <c r="N48" s="2">
        <f t="shared" si="1"/>
        <v>0.7</v>
      </c>
      <c r="O48" s="2">
        <v>4</v>
      </c>
      <c r="P48" s="2">
        <f t="shared" si="2"/>
        <v>-2.4000000000000004</v>
      </c>
      <c r="Q48" s="14"/>
      <c r="R48" s="100"/>
    </row>
    <row r="49" spans="2:19" x14ac:dyDescent="0.35">
      <c r="B49" s="2">
        <v>47</v>
      </c>
      <c r="C49" s="2" t="s">
        <v>21</v>
      </c>
      <c r="D49" s="14" t="s">
        <v>24</v>
      </c>
      <c r="E49" s="14" t="s">
        <v>134</v>
      </c>
      <c r="F49" s="2">
        <v>0.25</v>
      </c>
      <c r="G49" s="2">
        <v>0.25</v>
      </c>
      <c r="H49" s="2"/>
      <c r="I49" s="2"/>
      <c r="J49" s="2"/>
      <c r="K49" s="2"/>
      <c r="L49" s="2"/>
      <c r="M49" s="2">
        <f t="shared" si="4"/>
        <v>4</v>
      </c>
      <c r="N49" s="2">
        <f t="shared" si="1"/>
        <v>0.5</v>
      </c>
      <c r="O49" s="2">
        <v>6</v>
      </c>
      <c r="P49" s="2">
        <f t="shared" si="2"/>
        <v>2</v>
      </c>
      <c r="Q49" s="14"/>
      <c r="R49" s="100"/>
    </row>
    <row r="50" spans="2:19" s="153" customFormat="1" x14ac:dyDescent="0.35">
      <c r="B50" s="2">
        <v>48</v>
      </c>
      <c r="C50" s="46" t="s">
        <v>25</v>
      </c>
      <c r="D50" s="373" t="s">
        <v>26</v>
      </c>
      <c r="E50" s="374" t="s">
        <v>134</v>
      </c>
      <c r="F50" s="7">
        <v>1.25</v>
      </c>
      <c r="G50" s="7">
        <v>2</v>
      </c>
      <c r="H50" s="7"/>
      <c r="I50" s="7"/>
      <c r="J50" s="7"/>
      <c r="K50" s="7"/>
      <c r="L50" s="7"/>
      <c r="M50" s="2">
        <f t="shared" si="4"/>
        <v>23</v>
      </c>
      <c r="N50" s="2">
        <f t="shared" si="1"/>
        <v>3.25</v>
      </c>
      <c r="O50" s="7">
        <f>2+3</f>
        <v>5</v>
      </c>
      <c r="P50" s="7">
        <f t="shared" si="2"/>
        <v>-18</v>
      </c>
      <c r="Q50" s="374"/>
      <c r="R50" s="7"/>
      <c r="S50" s="311"/>
    </row>
    <row r="51" spans="2:19" x14ac:dyDescent="0.35">
      <c r="B51" s="2">
        <v>49</v>
      </c>
      <c r="C51" s="15" t="s">
        <v>27</v>
      </c>
      <c r="D51" s="16" t="s">
        <v>28</v>
      </c>
      <c r="E51" s="14" t="s">
        <v>134</v>
      </c>
      <c r="F51" s="2">
        <v>3.5</v>
      </c>
      <c r="G51" s="2">
        <v>5</v>
      </c>
      <c r="H51" s="2"/>
      <c r="I51" s="2"/>
      <c r="J51" s="2"/>
      <c r="K51" s="2"/>
      <c r="L51" s="2"/>
      <c r="M51" s="2">
        <f t="shared" si="4"/>
        <v>62</v>
      </c>
      <c r="N51" s="2">
        <f t="shared" si="1"/>
        <v>8.5</v>
      </c>
      <c r="O51" s="2">
        <f>6-6+13-8-5</f>
        <v>0</v>
      </c>
      <c r="P51" s="2">
        <f t="shared" si="2"/>
        <v>-62</v>
      </c>
      <c r="Q51" s="14"/>
      <c r="R51" s="2"/>
      <c r="S51" s="40"/>
    </row>
    <row r="52" spans="2:19" x14ac:dyDescent="0.35">
      <c r="B52" s="2">
        <v>50</v>
      </c>
      <c r="C52" s="323" t="s">
        <v>148</v>
      </c>
      <c r="D52" s="324" t="s">
        <v>29</v>
      </c>
      <c r="E52" s="325" t="s">
        <v>134</v>
      </c>
      <c r="F52" s="322">
        <v>32</v>
      </c>
      <c r="G52" s="322">
        <v>25</v>
      </c>
      <c r="H52" s="322"/>
      <c r="I52" s="322"/>
      <c r="J52" s="322"/>
      <c r="K52" s="322"/>
      <c r="L52" s="322"/>
      <c r="M52" s="322">
        <f t="shared" si="4"/>
        <v>484</v>
      </c>
      <c r="N52" s="322">
        <f t="shared" si="1"/>
        <v>57</v>
      </c>
      <c r="O52" s="322">
        <v>2</v>
      </c>
      <c r="P52" s="322">
        <f t="shared" si="2"/>
        <v>-482</v>
      </c>
      <c r="Q52" s="325"/>
      <c r="R52" s="322" t="s">
        <v>773</v>
      </c>
    </row>
    <row r="53" spans="2:19" x14ac:dyDescent="0.35">
      <c r="B53" s="2">
        <v>51</v>
      </c>
      <c r="C53" s="323" t="s">
        <v>30</v>
      </c>
      <c r="D53" s="324" t="s">
        <v>31</v>
      </c>
      <c r="E53" s="325" t="s">
        <v>134</v>
      </c>
      <c r="F53" s="322">
        <v>0.5</v>
      </c>
      <c r="G53" s="322">
        <v>4</v>
      </c>
      <c r="H53" s="322"/>
      <c r="I53" s="322">
        <v>0.2</v>
      </c>
      <c r="J53" s="322">
        <v>0.3</v>
      </c>
      <c r="K53" s="322"/>
      <c r="L53" s="322"/>
      <c r="M53" s="322">
        <f t="shared" si="4"/>
        <v>24</v>
      </c>
      <c r="N53" s="322">
        <f t="shared" si="1"/>
        <v>5</v>
      </c>
      <c r="O53" s="322">
        <f>3.9+2</f>
        <v>5.9</v>
      </c>
      <c r="P53" s="322">
        <f t="shared" si="2"/>
        <v>-18.100000000000001</v>
      </c>
      <c r="Q53" s="325"/>
      <c r="R53" s="322" t="s">
        <v>774</v>
      </c>
    </row>
    <row r="54" spans="2:19" x14ac:dyDescent="0.35">
      <c r="B54" s="2">
        <v>52</v>
      </c>
      <c r="C54" s="323" t="s">
        <v>32</v>
      </c>
      <c r="D54" s="324" t="s">
        <v>31</v>
      </c>
      <c r="E54" s="325" t="s">
        <v>134</v>
      </c>
      <c r="F54" s="322">
        <v>0.5</v>
      </c>
      <c r="G54" s="322">
        <v>4</v>
      </c>
      <c r="H54" s="322"/>
      <c r="I54" s="322">
        <v>0.3</v>
      </c>
      <c r="J54" s="322">
        <v>0.3</v>
      </c>
      <c r="K54" s="322"/>
      <c r="L54" s="322"/>
      <c r="M54" s="322">
        <f t="shared" si="4"/>
        <v>24.700000000000003</v>
      </c>
      <c r="N54" s="322">
        <f t="shared" si="1"/>
        <v>5.0999999999999996</v>
      </c>
      <c r="O54" s="322">
        <v>5.0999999999999996</v>
      </c>
      <c r="P54" s="322">
        <f t="shared" si="2"/>
        <v>-19.600000000000001</v>
      </c>
      <c r="Q54" s="325"/>
      <c r="R54" s="322" t="s">
        <v>774</v>
      </c>
    </row>
    <row r="55" spans="2:19" x14ac:dyDescent="0.35">
      <c r="B55" s="2">
        <v>53</v>
      </c>
      <c r="C55" s="15" t="s">
        <v>43</v>
      </c>
      <c r="D55" s="15" t="s">
        <v>66</v>
      </c>
      <c r="E55" s="15" t="s">
        <v>134</v>
      </c>
      <c r="F55" s="15"/>
      <c r="G55" s="15"/>
      <c r="H55" s="15"/>
      <c r="I55" s="15">
        <v>16</v>
      </c>
      <c r="J55" s="15">
        <v>6</v>
      </c>
      <c r="K55" s="15">
        <v>1</v>
      </c>
      <c r="L55" s="15"/>
      <c r="M55" s="2">
        <f t="shared" si="4"/>
        <v>136</v>
      </c>
      <c r="N55" s="2">
        <f t="shared" si="1"/>
        <v>23</v>
      </c>
      <c r="O55" s="15">
        <f>120-15</f>
        <v>105</v>
      </c>
      <c r="P55" s="15">
        <f t="shared" si="2"/>
        <v>-31</v>
      </c>
      <c r="Q55" s="14"/>
      <c r="R55" s="2"/>
    </row>
    <row r="56" spans="2:19" x14ac:dyDescent="0.35">
      <c r="B56" s="2">
        <v>54</v>
      </c>
      <c r="C56" s="2" t="s">
        <v>43</v>
      </c>
      <c r="D56" s="2" t="s">
        <v>138</v>
      </c>
      <c r="E56" s="2" t="s">
        <v>134</v>
      </c>
      <c r="F56" s="2"/>
      <c r="G56" s="2"/>
      <c r="H56" s="2"/>
      <c r="I56" s="2"/>
      <c r="J56" s="2"/>
      <c r="K56" s="2"/>
      <c r="L56" s="2"/>
      <c r="M56" s="2">
        <f t="shared" si="4"/>
        <v>0</v>
      </c>
      <c r="N56" s="2">
        <f t="shared" si="1"/>
        <v>0</v>
      </c>
      <c r="O56" s="2">
        <v>106</v>
      </c>
      <c r="P56" s="2">
        <f t="shared" si="2"/>
        <v>106</v>
      </c>
      <c r="Q56" s="14"/>
      <c r="R56" s="2"/>
    </row>
    <row r="57" spans="2:19" x14ac:dyDescent="0.35">
      <c r="B57" s="2">
        <v>55</v>
      </c>
      <c r="C57" s="15" t="s">
        <v>43</v>
      </c>
      <c r="D57" s="15" t="s">
        <v>44</v>
      </c>
      <c r="E57" s="15" t="s">
        <v>134</v>
      </c>
      <c r="F57" s="15">
        <v>10</v>
      </c>
      <c r="G57" s="15">
        <v>10</v>
      </c>
      <c r="H57" s="15">
        <v>3</v>
      </c>
      <c r="I57" s="15">
        <v>8</v>
      </c>
      <c r="J57" s="15">
        <v>6</v>
      </c>
      <c r="K57" s="15"/>
      <c r="L57" s="15">
        <v>3</v>
      </c>
      <c r="M57" s="2">
        <f t="shared" si="4"/>
        <v>300</v>
      </c>
      <c r="N57" s="2">
        <f t="shared" si="1"/>
        <v>40</v>
      </c>
      <c r="O57" s="15">
        <f>54+8</f>
        <v>62</v>
      </c>
      <c r="P57" s="15">
        <f t="shared" si="2"/>
        <v>-238</v>
      </c>
      <c r="Q57" s="14"/>
      <c r="R57" s="100"/>
    </row>
    <row r="58" spans="2:19" x14ac:dyDescent="0.35">
      <c r="B58" s="2">
        <v>56</v>
      </c>
      <c r="C58" s="15" t="s">
        <v>33</v>
      </c>
      <c r="D58" s="16" t="s">
        <v>34</v>
      </c>
      <c r="E58" s="14" t="s">
        <v>134</v>
      </c>
      <c r="F58" s="2">
        <v>25</v>
      </c>
      <c r="G58" s="2">
        <v>25</v>
      </c>
      <c r="H58" s="2">
        <v>13</v>
      </c>
      <c r="I58" s="2"/>
      <c r="J58" s="2"/>
      <c r="K58" s="2"/>
      <c r="L58" s="2"/>
      <c r="M58" s="2">
        <f t="shared" si="4"/>
        <v>556</v>
      </c>
      <c r="N58" s="2">
        <f t="shared" si="1"/>
        <v>63</v>
      </c>
      <c r="O58" s="2">
        <f>50+116+24</f>
        <v>190</v>
      </c>
      <c r="P58" s="2">
        <f t="shared" si="2"/>
        <v>-366</v>
      </c>
      <c r="Q58" s="14"/>
      <c r="R58" s="100"/>
    </row>
    <row r="59" spans="2:19" x14ac:dyDescent="0.35">
      <c r="B59" s="2">
        <v>57</v>
      </c>
      <c r="C59" s="15" t="s">
        <v>33</v>
      </c>
      <c r="D59" s="16" t="s">
        <v>139</v>
      </c>
      <c r="E59" s="14" t="s">
        <v>134</v>
      </c>
      <c r="F59" s="2">
        <v>0</v>
      </c>
      <c r="G59" s="2">
        <v>0</v>
      </c>
      <c r="H59" s="2"/>
      <c r="I59" s="2"/>
      <c r="J59" s="2"/>
      <c r="K59" s="2"/>
      <c r="L59" s="2"/>
      <c r="M59" s="2">
        <f t="shared" si="4"/>
        <v>0</v>
      </c>
      <c r="N59" s="2">
        <f t="shared" si="1"/>
        <v>0</v>
      </c>
      <c r="O59" s="2">
        <v>62</v>
      </c>
      <c r="P59" s="2">
        <f t="shared" si="2"/>
        <v>62</v>
      </c>
      <c r="Q59" s="14"/>
      <c r="R59" s="2"/>
    </row>
    <row r="60" spans="2:19" x14ac:dyDescent="0.35">
      <c r="B60" s="2">
        <v>58</v>
      </c>
      <c r="C60" s="15" t="s">
        <v>33</v>
      </c>
      <c r="D60" s="16" t="s">
        <v>35</v>
      </c>
      <c r="E60" s="14" t="s">
        <v>134</v>
      </c>
      <c r="F60" s="2">
        <v>50</v>
      </c>
      <c r="G60" s="2">
        <v>50</v>
      </c>
      <c r="H60" s="2"/>
      <c r="I60" s="2"/>
      <c r="J60" s="2"/>
      <c r="K60" s="2"/>
      <c r="L60" s="2"/>
      <c r="M60" s="2">
        <f t="shared" si="4"/>
        <v>800</v>
      </c>
      <c r="N60" s="2">
        <f t="shared" si="1"/>
        <v>100</v>
      </c>
      <c r="O60" s="2">
        <f>20+213+50</f>
        <v>283</v>
      </c>
      <c r="P60" s="2">
        <f t="shared" si="2"/>
        <v>-517</v>
      </c>
      <c r="Q60" s="14"/>
      <c r="R60" s="100"/>
    </row>
    <row r="61" spans="2:19" s="40" customFormat="1" ht="15.5" x14ac:dyDescent="0.35">
      <c r="B61" s="2">
        <v>59</v>
      </c>
      <c r="C61" s="15" t="s">
        <v>33</v>
      </c>
      <c r="D61" s="16" t="s">
        <v>163</v>
      </c>
      <c r="E61" s="14" t="s">
        <v>134</v>
      </c>
      <c r="F61" s="2">
        <v>25</v>
      </c>
      <c r="G61" s="2">
        <v>25</v>
      </c>
      <c r="H61" s="2"/>
      <c r="I61" s="2"/>
      <c r="J61" s="2"/>
      <c r="K61" s="2"/>
      <c r="L61" s="2"/>
      <c r="M61" s="2">
        <f t="shared" si="4"/>
        <v>400</v>
      </c>
      <c r="N61" s="2">
        <f t="shared" si="1"/>
        <v>50</v>
      </c>
      <c r="O61" s="2">
        <f>101+24</f>
        <v>125</v>
      </c>
      <c r="P61" s="2">
        <f t="shared" si="2"/>
        <v>-275</v>
      </c>
      <c r="Q61" s="14"/>
      <c r="R61" s="47"/>
    </row>
    <row r="62" spans="2:19" x14ac:dyDescent="0.35">
      <c r="B62" s="2">
        <v>60</v>
      </c>
      <c r="C62" s="15" t="s">
        <v>33</v>
      </c>
      <c r="D62" s="16" t="s">
        <v>164</v>
      </c>
      <c r="E62" s="14" t="s">
        <v>134</v>
      </c>
      <c r="F62" s="2"/>
      <c r="G62" s="2"/>
      <c r="H62" s="2"/>
      <c r="I62" s="2"/>
      <c r="J62" s="2"/>
      <c r="K62" s="2"/>
      <c r="L62" s="2"/>
      <c r="M62" s="2">
        <f t="shared" si="4"/>
        <v>0</v>
      </c>
      <c r="N62" s="2">
        <f t="shared" si="1"/>
        <v>0</v>
      </c>
      <c r="O62" s="2">
        <v>101</v>
      </c>
      <c r="P62" s="2">
        <f t="shared" si="2"/>
        <v>101</v>
      </c>
      <c r="Q62" s="14"/>
      <c r="R62" s="2"/>
    </row>
    <row r="63" spans="2:19" ht="15" customHeight="1" x14ac:dyDescent="0.35">
      <c r="B63" s="2">
        <v>61</v>
      </c>
      <c r="C63" s="15" t="s">
        <v>551</v>
      </c>
      <c r="D63" s="16" t="s">
        <v>15</v>
      </c>
      <c r="E63" s="14" t="s">
        <v>133</v>
      </c>
      <c r="F63" s="2">
        <v>50</v>
      </c>
      <c r="G63" s="2">
        <v>50</v>
      </c>
      <c r="H63" s="2">
        <v>13</v>
      </c>
      <c r="I63" s="2"/>
      <c r="J63" s="2"/>
      <c r="K63" s="2"/>
      <c r="L63" s="2"/>
      <c r="M63" s="2">
        <f t="shared" si="4"/>
        <v>956</v>
      </c>
      <c r="N63" s="2">
        <f t="shared" si="1"/>
        <v>113</v>
      </c>
      <c r="O63" s="2">
        <f>295+38</f>
        <v>333</v>
      </c>
      <c r="P63" s="2">
        <f t="shared" si="2"/>
        <v>-623</v>
      </c>
      <c r="Q63" s="14"/>
      <c r="R63" s="100"/>
    </row>
    <row r="64" spans="2:19" ht="15" customHeight="1" x14ac:dyDescent="0.35">
      <c r="B64" s="2">
        <v>62</v>
      </c>
      <c r="C64" s="15" t="s">
        <v>45</v>
      </c>
      <c r="D64" s="16" t="s">
        <v>44</v>
      </c>
      <c r="E64" s="14" t="s">
        <v>134</v>
      </c>
      <c r="F64" s="2">
        <v>13</v>
      </c>
      <c r="G64" s="2">
        <v>13</v>
      </c>
      <c r="H64" s="2">
        <f>0.05*25</f>
        <v>1.25</v>
      </c>
      <c r="I64" s="2"/>
      <c r="J64" s="2"/>
      <c r="K64" s="2"/>
      <c r="L64" s="2"/>
      <c r="M64" s="2">
        <f t="shared" si="4"/>
        <v>223</v>
      </c>
      <c r="N64" s="2">
        <f t="shared" si="1"/>
        <v>27.25</v>
      </c>
      <c r="O64" s="2">
        <f>77+11</f>
        <v>88</v>
      </c>
      <c r="P64" s="2">
        <f t="shared" si="2"/>
        <v>-135</v>
      </c>
      <c r="Q64" s="14"/>
      <c r="R64" s="100"/>
    </row>
    <row r="65" spans="2:18" ht="15" customHeight="1" x14ac:dyDescent="0.35">
      <c r="B65" s="2">
        <v>63</v>
      </c>
      <c r="C65" s="2" t="s">
        <v>59</v>
      </c>
      <c r="D65" s="14"/>
      <c r="E65" s="14" t="s">
        <v>133</v>
      </c>
      <c r="F65" s="2"/>
      <c r="G65" s="2">
        <v>100</v>
      </c>
      <c r="H65" s="2"/>
      <c r="I65" s="2"/>
      <c r="J65" s="2"/>
      <c r="K65" s="2"/>
      <c r="L65" s="2"/>
      <c r="M65" s="2">
        <f t="shared" si="4"/>
        <v>400</v>
      </c>
      <c r="N65" s="2">
        <f t="shared" si="1"/>
        <v>100</v>
      </c>
      <c r="O65" s="2">
        <v>2000</v>
      </c>
      <c r="P65" s="2">
        <f t="shared" si="2"/>
        <v>1600</v>
      </c>
      <c r="Q65" s="14"/>
      <c r="R65" s="2"/>
    </row>
    <row r="66" spans="2:18" ht="15.5" customHeight="1" x14ac:dyDescent="0.35">
      <c r="B66" s="2">
        <v>64</v>
      </c>
      <c r="C66" s="2" t="s">
        <v>69</v>
      </c>
      <c r="D66" s="14" t="s">
        <v>145</v>
      </c>
      <c r="E66" s="14" t="s">
        <v>133</v>
      </c>
      <c r="F66" s="2"/>
      <c r="G66" s="2"/>
      <c r="H66" s="2"/>
      <c r="I66" s="2">
        <v>8</v>
      </c>
      <c r="J66" s="2">
        <v>6</v>
      </c>
      <c r="K66" s="2"/>
      <c r="L66" s="2"/>
      <c r="M66" s="2">
        <f t="shared" si="4"/>
        <v>68</v>
      </c>
      <c r="N66" s="2">
        <f t="shared" si="1"/>
        <v>14</v>
      </c>
      <c r="O66" s="2">
        <v>104</v>
      </c>
      <c r="P66" s="2">
        <f t="shared" si="2"/>
        <v>36</v>
      </c>
      <c r="Q66" s="14"/>
      <c r="R66" s="100"/>
    </row>
    <row r="67" spans="2:18" ht="15.5" customHeight="1" x14ac:dyDescent="0.35">
      <c r="B67" s="2">
        <v>65</v>
      </c>
      <c r="C67" s="2" t="s">
        <v>770</v>
      </c>
      <c r="D67" s="14" t="s">
        <v>771</v>
      </c>
      <c r="E67" s="14" t="s">
        <v>772</v>
      </c>
      <c r="F67" s="2"/>
      <c r="G67" s="2"/>
      <c r="H67" s="2"/>
      <c r="I67" s="2"/>
      <c r="J67" s="2"/>
      <c r="K67" s="2"/>
      <c r="L67" s="2">
        <v>26</v>
      </c>
      <c r="M67" s="2">
        <f t="shared" si="4"/>
        <v>312</v>
      </c>
      <c r="N67" s="2">
        <f>SUM(J67,I67,G67,F67,H67,K67,L67)</f>
        <v>26</v>
      </c>
      <c r="O67" s="2">
        <v>0</v>
      </c>
      <c r="P67" s="2">
        <f t="shared" si="2"/>
        <v>-312</v>
      </c>
      <c r="Q67" s="14"/>
      <c r="R67" s="100"/>
    </row>
    <row r="68" spans="2:18" x14ac:dyDescent="0.35">
      <c r="B68" s="2">
        <v>66</v>
      </c>
      <c r="C68" s="15" t="s">
        <v>70</v>
      </c>
      <c r="D68" s="15" t="s">
        <v>162</v>
      </c>
      <c r="E68" s="15" t="s">
        <v>133</v>
      </c>
      <c r="F68" s="15"/>
      <c r="G68" s="15"/>
      <c r="H68" s="15"/>
      <c r="I68" s="15">
        <v>26</v>
      </c>
      <c r="J68" s="15"/>
      <c r="K68" s="15">
        <v>26</v>
      </c>
      <c r="L68" s="15">
        <v>26</v>
      </c>
      <c r="M68" s="2">
        <f t="shared" si="4"/>
        <v>806</v>
      </c>
      <c r="N68" s="2">
        <f>SUM(J68,I68,G68,F68,H68,K68,L68)</f>
        <v>78</v>
      </c>
      <c r="O68" s="15">
        <f>746-26-26</f>
        <v>694</v>
      </c>
      <c r="P68" s="15">
        <f t="shared" si="2"/>
        <v>-112</v>
      </c>
      <c r="Q68" s="14"/>
      <c r="R68" s="2"/>
    </row>
    <row r="69" spans="2:18" s="40" customFormat="1" x14ac:dyDescent="0.35">
      <c r="B69" s="2">
        <v>67</v>
      </c>
      <c r="C69" s="46" t="s">
        <v>70</v>
      </c>
      <c r="D69" s="46" t="s">
        <v>161</v>
      </c>
      <c r="E69" s="46" t="s">
        <v>133</v>
      </c>
      <c r="F69" s="46"/>
      <c r="G69" s="46"/>
      <c r="H69" s="46">
        <v>25</v>
      </c>
      <c r="I69" s="46">
        <v>52</v>
      </c>
      <c r="J69" s="46">
        <v>26</v>
      </c>
      <c r="K69" s="46"/>
      <c r="L69" s="46"/>
      <c r="M69" s="2">
        <f t="shared" si="4"/>
        <v>716</v>
      </c>
      <c r="N69" s="2">
        <f t="shared" ref="N69:N70" si="5">SUM(J69,I69,G69,F69,H69,K69,L69)</f>
        <v>103</v>
      </c>
      <c r="O69" s="375">
        <f>250-50-52-26-52-52-22+500-52</f>
        <v>444</v>
      </c>
      <c r="P69" s="46">
        <f t="shared" si="2"/>
        <v>-272</v>
      </c>
      <c r="Q69" s="374"/>
      <c r="R69" s="100"/>
    </row>
    <row r="70" spans="2:18" x14ac:dyDescent="0.35">
      <c r="B70" s="2">
        <v>68</v>
      </c>
      <c r="C70" s="15" t="s">
        <v>70</v>
      </c>
      <c r="D70" s="2" t="s">
        <v>160</v>
      </c>
      <c r="E70" s="15" t="s">
        <v>133</v>
      </c>
      <c r="F70" s="15">
        <v>25</v>
      </c>
      <c r="G70" s="15">
        <v>25</v>
      </c>
      <c r="H70" s="15"/>
      <c r="I70" s="15"/>
      <c r="J70" s="15"/>
      <c r="K70" s="15"/>
      <c r="L70" s="15"/>
      <c r="M70" s="2">
        <f t="shared" si="4"/>
        <v>400</v>
      </c>
      <c r="N70" s="2">
        <f t="shared" si="5"/>
        <v>50</v>
      </c>
      <c r="O70" s="15">
        <f>300-25-50</f>
        <v>225</v>
      </c>
      <c r="P70" s="15">
        <f t="shared" si="2"/>
        <v>-175</v>
      </c>
      <c r="Q70" s="14"/>
      <c r="R70" s="100"/>
    </row>
    <row r="71" spans="2:18" x14ac:dyDescent="0.35">
      <c r="B71" s="2">
        <v>69</v>
      </c>
      <c r="C71" s="2" t="s">
        <v>672</v>
      </c>
      <c r="D71" s="15"/>
      <c r="E71" s="46" t="s">
        <v>133</v>
      </c>
      <c r="F71" s="15"/>
      <c r="G71" s="15"/>
      <c r="H71" s="15"/>
      <c r="I71" s="2"/>
      <c r="J71" s="2"/>
      <c r="K71" s="2"/>
      <c r="L71" s="2"/>
      <c r="M71" s="2">
        <f t="shared" si="4"/>
        <v>0</v>
      </c>
      <c r="N71" s="2">
        <f>SUM(J71,I71,G71,F71,H71,K71,L71)</f>
        <v>0</v>
      </c>
      <c r="O71" s="2">
        <f>500-100</f>
        <v>400</v>
      </c>
      <c r="P71" s="2"/>
      <c r="Q71" s="2"/>
      <c r="R71" s="100"/>
    </row>
  </sheetData>
  <mergeCells count="5">
    <mergeCell ref="O1:P1"/>
    <mergeCell ref="B1:E1"/>
    <mergeCell ref="F1:H1"/>
    <mergeCell ref="R1:R2"/>
    <mergeCell ref="I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1"/>
  <sheetViews>
    <sheetView zoomScale="145" zoomScaleNormal="145" workbookViewId="0">
      <pane xSplit="5" ySplit="2" topLeftCell="F30" activePane="bottomRight" state="frozen"/>
      <selection pane="topRight" activeCell="F1" sqref="F1"/>
      <selection pane="bottomLeft" activeCell="A7" sqref="A7"/>
      <selection pane="bottomRight" activeCell="I36" sqref="I36"/>
    </sheetView>
  </sheetViews>
  <sheetFormatPr defaultRowHeight="14.5" x14ac:dyDescent="0.35"/>
  <cols>
    <col min="1" max="1" width="5.6328125" customWidth="1"/>
    <col min="2" max="2" width="7.08984375" customWidth="1"/>
    <col min="3" max="3" width="16.453125" bestFit="1" customWidth="1"/>
    <col min="4" max="4" width="21.6328125" customWidth="1"/>
    <col min="5" max="5" width="7.36328125" bestFit="1" customWidth="1"/>
    <col min="6" max="6" width="10.54296875" customWidth="1"/>
    <col min="7" max="7" width="11.6328125" hidden="1" customWidth="1"/>
    <col min="8" max="8" width="25.7265625" bestFit="1" customWidth="1"/>
    <col min="9" max="9" width="17.36328125" bestFit="1" customWidth="1"/>
  </cols>
  <sheetData>
    <row r="1" spans="2:8" ht="20" customHeight="1" thickBot="1" x14ac:dyDescent="0.4">
      <c r="B1" s="335" t="s">
        <v>108</v>
      </c>
      <c r="C1" s="336"/>
      <c r="D1" s="336"/>
      <c r="E1" s="336"/>
      <c r="F1" s="336"/>
      <c r="G1" s="336"/>
      <c r="H1" s="337"/>
    </row>
    <row r="2" spans="2:8" s="4" customFormat="1" ht="18" customHeight="1" thickBot="1" x14ac:dyDescent="0.4">
      <c r="B2" s="274" t="s">
        <v>46</v>
      </c>
      <c r="C2" s="275" t="s">
        <v>111</v>
      </c>
      <c r="D2" s="275" t="s">
        <v>55</v>
      </c>
      <c r="E2" s="275" t="s">
        <v>109</v>
      </c>
      <c r="F2" s="275" t="s">
        <v>57</v>
      </c>
      <c r="G2" s="275" t="s">
        <v>56</v>
      </c>
      <c r="H2" s="276" t="s">
        <v>110</v>
      </c>
    </row>
    <row r="3" spans="2:8" ht="15.5" x14ac:dyDescent="0.35">
      <c r="B3" s="270">
        <v>1</v>
      </c>
      <c r="C3" s="330" t="s">
        <v>150</v>
      </c>
      <c r="D3" s="271" t="s">
        <v>62</v>
      </c>
      <c r="E3" s="272">
        <v>26</v>
      </c>
      <c r="F3" s="272">
        <f>84-26-26</f>
        <v>32</v>
      </c>
      <c r="G3" s="272"/>
      <c r="H3" s="273"/>
    </row>
    <row r="4" spans="2:8" ht="15.5" x14ac:dyDescent="0.35">
      <c r="B4" s="21">
        <v>2</v>
      </c>
      <c r="C4" s="330"/>
      <c r="D4" s="268" t="s">
        <v>63</v>
      </c>
      <c r="E4" s="6">
        <v>26</v>
      </c>
      <c r="F4" s="6">
        <f>84-26-26</f>
        <v>32</v>
      </c>
      <c r="G4" s="6"/>
      <c r="H4" s="9"/>
    </row>
    <row r="5" spans="2:8" ht="15.5" x14ac:dyDescent="0.35">
      <c r="B5" s="21">
        <v>3</v>
      </c>
      <c r="C5" s="330"/>
      <c r="D5" s="268" t="s">
        <v>64</v>
      </c>
      <c r="E5" s="6">
        <v>26</v>
      </c>
      <c r="F5" s="6">
        <f>84-26-26</f>
        <v>32</v>
      </c>
      <c r="G5" s="6"/>
      <c r="H5" s="9"/>
    </row>
    <row r="6" spans="2:8" ht="16" thickBot="1" x14ac:dyDescent="0.4">
      <c r="B6" s="21">
        <v>4</v>
      </c>
      <c r="C6" s="331"/>
      <c r="D6" s="269" t="s">
        <v>65</v>
      </c>
      <c r="E6" s="10">
        <v>26</v>
      </c>
      <c r="F6" s="10">
        <f>84-26-26</f>
        <v>32</v>
      </c>
      <c r="G6" s="10"/>
      <c r="H6" s="11"/>
    </row>
    <row r="7" spans="2:8" ht="16" thickBot="1" x14ac:dyDescent="0.4">
      <c r="B7" s="21">
        <v>5</v>
      </c>
      <c r="C7" s="332" t="s">
        <v>714</v>
      </c>
      <c r="D7" s="182" t="s">
        <v>105</v>
      </c>
      <c r="E7" s="22">
        <v>26</v>
      </c>
      <c r="F7" s="183">
        <v>70</v>
      </c>
      <c r="G7" s="23"/>
      <c r="H7" s="184" t="s">
        <v>715</v>
      </c>
    </row>
    <row r="8" spans="2:8" ht="16" thickBot="1" x14ac:dyDescent="0.4">
      <c r="B8" s="21">
        <v>6</v>
      </c>
      <c r="C8" s="333"/>
      <c r="D8" s="161" t="s">
        <v>106</v>
      </c>
      <c r="E8" s="6">
        <v>26</v>
      </c>
      <c r="F8" s="6">
        <v>70</v>
      </c>
      <c r="G8" s="165"/>
      <c r="H8" s="160" t="s">
        <v>673</v>
      </c>
    </row>
    <row r="9" spans="2:8" ht="16" thickBot="1" x14ac:dyDescent="0.4">
      <c r="B9" s="24">
        <v>7</v>
      </c>
      <c r="C9" s="334"/>
      <c r="D9" s="162" t="s">
        <v>107</v>
      </c>
      <c r="E9" s="10">
        <v>26</v>
      </c>
      <c r="F9" s="166">
        <v>70</v>
      </c>
      <c r="G9" s="11"/>
      <c r="H9" s="163" t="s">
        <v>673</v>
      </c>
    </row>
    <row r="10" spans="2:8" ht="14.5" customHeight="1" x14ac:dyDescent="0.35">
      <c r="B10" s="167"/>
      <c r="C10" s="338" t="s">
        <v>711</v>
      </c>
      <c r="D10" s="312" t="s">
        <v>678</v>
      </c>
      <c r="E10" s="157"/>
      <c r="F10" s="28"/>
      <c r="G10" s="169"/>
      <c r="H10" s="170"/>
    </row>
    <row r="11" spans="2:8" ht="14.5" customHeight="1" x14ac:dyDescent="0.35">
      <c r="B11" s="168"/>
      <c r="C11" s="330"/>
      <c r="D11" s="313" t="s">
        <v>679</v>
      </c>
      <c r="E11" s="158"/>
      <c r="F11" s="2"/>
      <c r="G11" s="164"/>
      <c r="H11" s="171"/>
    </row>
    <row r="12" spans="2:8" ht="14.5" customHeight="1" x14ac:dyDescent="0.35">
      <c r="B12" s="168"/>
      <c r="C12" s="330"/>
      <c r="D12" s="313" t="s">
        <v>680</v>
      </c>
      <c r="E12" s="158"/>
      <c r="F12" s="2"/>
      <c r="G12" s="164"/>
      <c r="H12" s="171"/>
    </row>
    <row r="13" spans="2:8" ht="14.5" customHeight="1" x14ac:dyDescent="0.35">
      <c r="B13" s="168"/>
      <c r="C13" s="330"/>
      <c r="D13" s="313" t="s">
        <v>681</v>
      </c>
      <c r="E13" s="158"/>
      <c r="F13" s="2"/>
      <c r="G13" s="164"/>
      <c r="H13" s="171"/>
    </row>
    <row r="14" spans="2:8" ht="14.5" customHeight="1" x14ac:dyDescent="0.35">
      <c r="B14" s="168"/>
      <c r="C14" s="330"/>
      <c r="D14" s="313" t="s">
        <v>756</v>
      </c>
      <c r="E14" s="158"/>
      <c r="F14" s="2">
        <f>120-1</f>
        <v>119</v>
      </c>
      <c r="G14" s="164"/>
      <c r="H14" s="171"/>
    </row>
    <row r="15" spans="2:8" ht="14.5" customHeight="1" x14ac:dyDescent="0.35">
      <c r="B15" s="168"/>
      <c r="C15" s="330"/>
      <c r="D15" s="313" t="s">
        <v>759</v>
      </c>
      <c r="E15" s="158"/>
      <c r="F15" s="2">
        <v>115</v>
      </c>
      <c r="G15" s="164"/>
      <c r="H15" s="171"/>
    </row>
    <row r="16" spans="2:8" ht="14.5" customHeight="1" x14ac:dyDescent="0.35">
      <c r="B16" s="168"/>
      <c r="C16" s="330"/>
      <c r="D16" s="313" t="s">
        <v>682</v>
      </c>
      <c r="E16" s="158">
        <f>50+50</f>
        <v>100</v>
      </c>
      <c r="F16" s="2">
        <f>50+50+9</f>
        <v>109</v>
      </c>
      <c r="G16" s="164"/>
      <c r="H16" s="171"/>
    </row>
    <row r="17" spans="2:8" ht="14.5" customHeight="1" x14ac:dyDescent="0.35">
      <c r="B17" s="168"/>
      <c r="C17" s="330"/>
      <c r="D17" s="313" t="s">
        <v>683</v>
      </c>
      <c r="E17" s="158">
        <f>50+50</f>
        <v>100</v>
      </c>
      <c r="F17" s="2">
        <f>50+50+14</f>
        <v>114</v>
      </c>
      <c r="G17" s="164"/>
      <c r="H17" s="171"/>
    </row>
    <row r="18" spans="2:8" ht="14.5" customHeight="1" x14ac:dyDescent="0.35">
      <c r="B18" s="168"/>
      <c r="C18" s="330"/>
      <c r="D18" s="313" t="s">
        <v>684</v>
      </c>
      <c r="E18" s="158">
        <v>70</v>
      </c>
      <c r="F18" s="2">
        <v>70</v>
      </c>
      <c r="G18" s="164"/>
      <c r="H18" s="171"/>
    </row>
    <row r="19" spans="2:8" ht="14.5" customHeight="1" x14ac:dyDescent="0.35">
      <c r="B19" s="168"/>
      <c r="C19" s="330"/>
      <c r="D19" s="313" t="s">
        <v>685</v>
      </c>
      <c r="E19" s="158">
        <f>100+100</f>
        <v>200</v>
      </c>
      <c r="F19" s="2">
        <f>100+100-30</f>
        <v>170</v>
      </c>
      <c r="G19" s="164"/>
      <c r="H19" s="171" t="s">
        <v>744</v>
      </c>
    </row>
    <row r="20" spans="2:8" ht="14.5" customHeight="1" x14ac:dyDescent="0.35">
      <c r="B20" s="168"/>
      <c r="C20" s="330"/>
      <c r="D20" s="313" t="s">
        <v>686</v>
      </c>
      <c r="E20" s="158">
        <v>70</v>
      </c>
      <c r="F20" s="2">
        <f>70-16-1</f>
        <v>53</v>
      </c>
      <c r="G20" s="164"/>
      <c r="H20" s="171" t="s">
        <v>750</v>
      </c>
    </row>
    <row r="21" spans="2:8" ht="14.5" customHeight="1" x14ac:dyDescent="0.35">
      <c r="B21" s="168"/>
      <c r="C21" s="330"/>
      <c r="D21" s="313" t="s">
        <v>687</v>
      </c>
      <c r="E21" s="158">
        <f>100+100</f>
        <v>200</v>
      </c>
      <c r="F21" s="2">
        <f>100+100</f>
        <v>200</v>
      </c>
      <c r="G21" s="164"/>
      <c r="H21" s="171"/>
    </row>
    <row r="22" spans="2:8" ht="14.5" customHeight="1" x14ac:dyDescent="0.35">
      <c r="B22" s="168"/>
      <c r="C22" s="330"/>
      <c r="D22" s="313" t="s">
        <v>753</v>
      </c>
      <c r="E22" s="158"/>
      <c r="F22" s="2">
        <v>79</v>
      </c>
      <c r="G22" s="164"/>
      <c r="H22" s="171"/>
    </row>
    <row r="23" spans="2:8" ht="14.5" customHeight="1" x14ac:dyDescent="0.35">
      <c r="B23" s="168"/>
      <c r="C23" s="330"/>
      <c r="D23" s="313" t="s">
        <v>688</v>
      </c>
      <c r="E23" s="158">
        <v>2</v>
      </c>
      <c r="F23" s="2">
        <v>2</v>
      </c>
      <c r="G23" s="164"/>
      <c r="H23" s="171"/>
    </row>
    <row r="24" spans="2:8" ht="14.5" customHeight="1" x14ac:dyDescent="0.35">
      <c r="B24" s="168"/>
      <c r="C24" s="330"/>
      <c r="D24" s="313" t="s">
        <v>754</v>
      </c>
      <c r="E24" s="158"/>
      <c r="F24" s="2">
        <f>11-7</f>
        <v>4</v>
      </c>
      <c r="G24" s="164"/>
      <c r="H24" s="171" t="s">
        <v>755</v>
      </c>
    </row>
    <row r="25" spans="2:8" ht="14.5" customHeight="1" x14ac:dyDescent="0.35">
      <c r="B25" s="168"/>
      <c r="C25" s="330"/>
      <c r="D25" s="313" t="s">
        <v>760</v>
      </c>
      <c r="E25" s="158"/>
      <c r="F25" s="2">
        <f>150-1</f>
        <v>149</v>
      </c>
      <c r="G25" s="164"/>
      <c r="H25" s="171"/>
    </row>
    <row r="26" spans="2:8" ht="14.5" customHeight="1" x14ac:dyDescent="0.35">
      <c r="B26" s="168"/>
      <c r="C26" s="330"/>
      <c r="D26" s="313" t="s">
        <v>689</v>
      </c>
      <c r="E26" s="158">
        <v>100</v>
      </c>
      <c r="F26" s="2">
        <f>100-10-3</f>
        <v>87</v>
      </c>
      <c r="G26" s="164"/>
      <c r="H26" s="171" t="s">
        <v>750</v>
      </c>
    </row>
    <row r="27" spans="2:8" ht="14.5" customHeight="1" x14ac:dyDescent="0.35">
      <c r="B27" s="168"/>
      <c r="C27" s="330"/>
      <c r="D27" s="313" t="s">
        <v>690</v>
      </c>
      <c r="E27" s="158">
        <v>200</v>
      </c>
      <c r="F27" s="2">
        <v>200</v>
      </c>
      <c r="G27" s="164"/>
      <c r="H27" s="171"/>
    </row>
    <row r="28" spans="2:8" ht="14.5" customHeight="1" x14ac:dyDescent="0.35">
      <c r="B28" s="168"/>
      <c r="C28" s="330"/>
      <c r="D28" s="313" t="s">
        <v>752</v>
      </c>
      <c r="E28" s="158"/>
      <c r="F28" s="2">
        <v>295</v>
      </c>
      <c r="G28" s="164"/>
      <c r="H28" s="171"/>
    </row>
    <row r="29" spans="2:8" ht="14.5" customHeight="1" x14ac:dyDescent="0.35">
      <c r="B29" s="168"/>
      <c r="C29" s="330"/>
      <c r="D29" s="313" t="s">
        <v>691</v>
      </c>
      <c r="E29" s="158">
        <f>100+100</f>
        <v>200</v>
      </c>
      <c r="F29" s="2">
        <f>100+100+6</f>
        <v>206</v>
      </c>
      <c r="G29" s="164"/>
      <c r="H29" s="171"/>
    </row>
    <row r="30" spans="2:8" ht="14.5" customHeight="1" x14ac:dyDescent="0.35">
      <c r="B30" s="168"/>
      <c r="C30" s="330"/>
      <c r="D30" s="313" t="s">
        <v>692</v>
      </c>
      <c r="E30" s="158">
        <v>100</v>
      </c>
      <c r="F30" s="2">
        <f>100-10</f>
        <v>90</v>
      </c>
      <c r="G30" s="164"/>
      <c r="H30" s="171"/>
    </row>
    <row r="31" spans="2:8" ht="14.5" customHeight="1" x14ac:dyDescent="0.35">
      <c r="B31" s="168"/>
      <c r="C31" s="330"/>
      <c r="D31" s="313" t="s">
        <v>693</v>
      </c>
      <c r="E31" s="158">
        <v>100</v>
      </c>
      <c r="F31" s="2">
        <f>100-10</f>
        <v>90</v>
      </c>
      <c r="G31" s="164"/>
      <c r="H31" s="171" t="s">
        <v>742</v>
      </c>
    </row>
    <row r="32" spans="2:8" ht="14.5" customHeight="1" x14ac:dyDescent="0.35">
      <c r="B32" s="168"/>
      <c r="C32" s="330"/>
      <c r="D32" s="313" t="s">
        <v>694</v>
      </c>
      <c r="E32" s="158">
        <f>50+50</f>
        <v>100</v>
      </c>
      <c r="F32" s="2">
        <f>50+50</f>
        <v>100</v>
      </c>
      <c r="G32" s="164"/>
      <c r="H32" s="171"/>
    </row>
    <row r="33" spans="2:9" ht="14.5" customHeight="1" x14ac:dyDescent="0.35">
      <c r="B33" s="168"/>
      <c r="C33" s="330"/>
      <c r="D33" s="313" t="s">
        <v>695</v>
      </c>
      <c r="E33" s="158">
        <f>50+50</f>
        <v>100</v>
      </c>
      <c r="F33" s="2">
        <f>50+50+11</f>
        <v>111</v>
      </c>
      <c r="G33" s="164"/>
      <c r="H33" s="171"/>
    </row>
    <row r="34" spans="2:9" ht="14.5" customHeight="1" x14ac:dyDescent="0.35">
      <c r="B34" s="168"/>
      <c r="C34" s="330"/>
      <c r="D34" s="313" t="s">
        <v>696</v>
      </c>
      <c r="E34" s="158">
        <f>70</f>
        <v>70</v>
      </c>
      <c r="F34" s="2">
        <f>70+44</f>
        <v>114</v>
      </c>
      <c r="G34" s="164"/>
      <c r="H34" s="171"/>
    </row>
    <row r="35" spans="2:9" ht="14.5" customHeight="1" x14ac:dyDescent="0.35">
      <c r="B35" s="168"/>
      <c r="C35" s="330"/>
      <c r="D35" s="313" t="s">
        <v>768</v>
      </c>
      <c r="E35" s="158"/>
      <c r="F35" s="2">
        <f>30-14</f>
        <v>16</v>
      </c>
      <c r="G35" s="164"/>
      <c r="H35" s="171"/>
    </row>
    <row r="36" spans="2:9" ht="14.5" customHeight="1" x14ac:dyDescent="0.35">
      <c r="B36" s="168"/>
      <c r="C36" s="330"/>
      <c r="D36" s="313" t="s">
        <v>709</v>
      </c>
      <c r="E36" s="158">
        <v>200</v>
      </c>
      <c r="F36" s="2">
        <f>200-200+35-35</f>
        <v>0</v>
      </c>
      <c r="G36" s="164"/>
      <c r="H36" s="171" t="s">
        <v>710</v>
      </c>
    </row>
    <row r="37" spans="2:9" ht="14.5" customHeight="1" x14ac:dyDescent="0.35">
      <c r="B37" s="168"/>
      <c r="C37" s="330"/>
      <c r="D37" s="313" t="s">
        <v>697</v>
      </c>
      <c r="E37" s="158">
        <f>200+200</f>
        <v>400</v>
      </c>
      <c r="F37" s="2">
        <f>200+200-4-30-55</f>
        <v>311</v>
      </c>
      <c r="G37" s="164"/>
      <c r="H37" s="171" t="s">
        <v>763</v>
      </c>
    </row>
    <row r="38" spans="2:9" ht="14.5" customHeight="1" x14ac:dyDescent="0.35">
      <c r="B38" s="168"/>
      <c r="C38" s="330"/>
      <c r="D38" s="313" t="s">
        <v>767</v>
      </c>
      <c r="E38" s="158"/>
      <c r="F38" s="2">
        <v>161</v>
      </c>
      <c r="G38" s="164"/>
      <c r="H38" s="171"/>
    </row>
    <row r="39" spans="2:9" ht="14.5" customHeight="1" x14ac:dyDescent="0.35">
      <c r="B39" s="168"/>
      <c r="C39" s="330"/>
      <c r="D39" s="314" t="s">
        <v>758</v>
      </c>
      <c r="E39" s="159"/>
      <c r="F39" s="156">
        <f>136-3</f>
        <v>133</v>
      </c>
      <c r="G39" s="164"/>
      <c r="H39" s="171"/>
    </row>
    <row r="40" spans="2:9" ht="15" customHeight="1" thickBot="1" x14ac:dyDescent="0.4">
      <c r="B40" s="168"/>
      <c r="C40" s="330"/>
      <c r="D40" s="178" t="s">
        <v>698</v>
      </c>
      <c r="E40" s="159">
        <v>100</v>
      </c>
      <c r="F40" s="156">
        <v>100</v>
      </c>
      <c r="G40" s="164"/>
      <c r="H40" s="171"/>
    </row>
    <row r="41" spans="2:9" ht="15" customHeight="1" thickBot="1" x14ac:dyDescent="0.4">
      <c r="B41" s="168"/>
      <c r="C41" s="330"/>
      <c r="D41" s="178" t="s">
        <v>699</v>
      </c>
      <c r="E41" s="159">
        <f>50+50</f>
        <v>100</v>
      </c>
      <c r="F41" s="156">
        <f>50+50</f>
        <v>100</v>
      </c>
      <c r="G41" s="164"/>
      <c r="H41" s="171"/>
    </row>
    <row r="42" spans="2:9" ht="15" customHeight="1" thickBot="1" x14ac:dyDescent="0.4">
      <c r="B42" s="168"/>
      <c r="C42" s="330"/>
      <c r="D42" s="178" t="s">
        <v>700</v>
      </c>
      <c r="E42" s="159">
        <v>200</v>
      </c>
      <c r="F42" s="156">
        <f>200+90</f>
        <v>290</v>
      </c>
      <c r="G42" s="164"/>
      <c r="H42" s="171"/>
    </row>
    <row r="43" spans="2:9" ht="14.5" customHeight="1" x14ac:dyDescent="0.35">
      <c r="B43" s="168"/>
      <c r="C43" s="330"/>
      <c r="D43" s="314" t="s">
        <v>701</v>
      </c>
      <c r="E43" s="159">
        <f>84-26</f>
        <v>58</v>
      </c>
      <c r="F43" s="156">
        <f>84-26</f>
        <v>58</v>
      </c>
      <c r="G43" s="164"/>
      <c r="H43" s="171"/>
    </row>
    <row r="44" spans="2:9" ht="14.5" customHeight="1" x14ac:dyDescent="0.35">
      <c r="B44" s="168"/>
      <c r="C44" s="330"/>
      <c r="D44" s="314" t="s">
        <v>702</v>
      </c>
      <c r="E44" s="159">
        <v>100</v>
      </c>
      <c r="F44" s="156">
        <f>100-7</f>
        <v>93</v>
      </c>
      <c r="G44" s="164"/>
      <c r="H44" s="171" t="s">
        <v>751</v>
      </c>
    </row>
    <row r="45" spans="2:9" ht="14.5" customHeight="1" x14ac:dyDescent="0.35">
      <c r="B45" s="168"/>
      <c r="C45" s="330"/>
      <c r="D45" s="314" t="s">
        <v>757</v>
      </c>
      <c r="E45" s="159"/>
      <c r="F45" s="156">
        <f>10-7</f>
        <v>3</v>
      </c>
      <c r="G45" s="164"/>
      <c r="H45" s="171"/>
    </row>
    <row r="46" spans="2:9" ht="14.5" customHeight="1" x14ac:dyDescent="0.35">
      <c r="B46" s="168"/>
      <c r="C46" s="330"/>
      <c r="D46" s="314" t="s">
        <v>703</v>
      </c>
      <c r="E46" s="159">
        <f>50+50</f>
        <v>100</v>
      </c>
      <c r="F46" s="156">
        <f>50+50</f>
        <v>100</v>
      </c>
      <c r="G46" s="164"/>
      <c r="H46" s="171"/>
    </row>
    <row r="47" spans="2:9" ht="14.5" customHeight="1" x14ac:dyDescent="0.35">
      <c r="B47" s="168"/>
      <c r="C47" s="330"/>
      <c r="D47" s="314" t="s">
        <v>704</v>
      </c>
      <c r="E47" s="158">
        <v>100</v>
      </c>
      <c r="F47" s="2">
        <f>100-40-60</f>
        <v>0</v>
      </c>
      <c r="G47" s="164"/>
      <c r="H47" s="171" t="s">
        <v>743</v>
      </c>
      <c r="I47" s="181" t="s">
        <v>707</v>
      </c>
    </row>
    <row r="48" spans="2:9" ht="14.5" customHeight="1" x14ac:dyDescent="0.35">
      <c r="B48" s="168"/>
      <c r="C48" s="330"/>
      <c r="D48" s="314" t="s">
        <v>705</v>
      </c>
      <c r="E48" s="158">
        <f>100+100-200</f>
        <v>0</v>
      </c>
      <c r="F48" s="2">
        <f>100+100-200</f>
        <v>0</v>
      </c>
      <c r="G48" s="164"/>
      <c r="H48" s="171"/>
    </row>
    <row r="49" spans="2:8" ht="15" customHeight="1" thickBot="1" x14ac:dyDescent="0.4">
      <c r="B49" s="341"/>
      <c r="C49" s="330"/>
      <c r="D49" s="314" t="s">
        <v>706</v>
      </c>
      <c r="E49" s="159">
        <f>100+100-200</f>
        <v>0</v>
      </c>
      <c r="F49" s="156">
        <f>100+100-200</f>
        <v>0</v>
      </c>
      <c r="G49" s="315"/>
      <c r="H49" s="316"/>
    </row>
    <row r="50" spans="2:8" x14ac:dyDescent="0.35">
      <c r="B50" s="341"/>
      <c r="C50" s="339"/>
      <c r="D50" s="154" t="s">
        <v>761</v>
      </c>
      <c r="E50" s="317"/>
      <c r="F50" s="320">
        <v>1</v>
      </c>
      <c r="G50" s="318"/>
      <c r="H50" s="170"/>
    </row>
    <row r="51" spans="2:8" ht="15" thickBot="1" x14ac:dyDescent="0.4">
      <c r="B51" s="342"/>
      <c r="C51" s="340"/>
      <c r="D51" s="155" t="s">
        <v>762</v>
      </c>
      <c r="E51" s="177"/>
      <c r="F51" s="321">
        <v>1</v>
      </c>
      <c r="G51" s="319"/>
      <c r="H51" s="172"/>
    </row>
  </sheetData>
  <mergeCells count="5">
    <mergeCell ref="C3:C6"/>
    <mergeCell ref="C7:C9"/>
    <mergeCell ref="B1:H1"/>
    <mergeCell ref="C10:C51"/>
    <mergeCell ref="B49:B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6"/>
  <sheetViews>
    <sheetView zoomScale="110" zoomScaleNormal="110" workbookViewId="0">
      <pane xSplit="8" ySplit="2" topLeftCell="I21" activePane="bottomRight" state="frozen"/>
      <selection pane="topRight" activeCell="H1" sqref="H1"/>
      <selection pane="bottomLeft" activeCell="A10" sqref="A10"/>
      <selection pane="bottomRight" activeCell="J30" sqref="J30"/>
    </sheetView>
  </sheetViews>
  <sheetFormatPr defaultRowHeight="14.5" x14ac:dyDescent="0.35"/>
  <cols>
    <col min="1" max="1" width="0" style="1" hidden="1" customWidth="1"/>
    <col min="2" max="2" width="6" style="1" customWidth="1"/>
    <col min="3" max="3" width="18.36328125" style="1" customWidth="1"/>
    <col min="4" max="4" width="12.7265625" style="1" customWidth="1"/>
    <col min="5" max="5" width="17.81640625" style="1" customWidth="1"/>
    <col min="6" max="6" width="8.7265625" style="1"/>
    <col min="7" max="7" width="10.7265625" style="1" bestFit="1" customWidth="1"/>
    <col min="8" max="8" width="5.90625" style="1" bestFit="1" customWidth="1"/>
    <col min="9" max="9" width="9.7265625" style="1" bestFit="1" customWidth="1"/>
    <col min="10" max="10" width="7" style="1" bestFit="1" customWidth="1"/>
    <col min="11" max="11" width="9.7265625" style="1" bestFit="1" customWidth="1"/>
    <col min="12" max="12" width="9.7265625" style="1" customWidth="1"/>
    <col min="13" max="13" width="11.7265625" style="1" bestFit="1" customWidth="1"/>
    <col min="14" max="14" width="6.90625" style="1" customWidth="1"/>
    <col min="15" max="16" width="8.7265625" style="1"/>
    <col min="17" max="17" width="15.36328125" style="1" bestFit="1" customWidth="1"/>
    <col min="18" max="18" width="11.26953125" style="1" bestFit="1" customWidth="1"/>
    <col min="19" max="16384" width="8.7265625" style="1"/>
  </cols>
  <sheetData>
    <row r="1" spans="2:29" ht="24" customHeight="1" thickBot="1" x14ac:dyDescent="0.4">
      <c r="B1" s="335" t="s">
        <v>112</v>
      </c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7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</row>
    <row r="2" spans="2:29" s="5" customFormat="1" ht="20.5" customHeight="1" thickBot="1" x14ac:dyDescent="0.4">
      <c r="B2" s="106" t="s">
        <v>46</v>
      </c>
      <c r="C2" s="106" t="s">
        <v>103</v>
      </c>
      <c r="D2" s="106" t="s">
        <v>104</v>
      </c>
      <c r="E2" s="106" t="s">
        <v>102</v>
      </c>
      <c r="F2" s="106" t="s">
        <v>130</v>
      </c>
      <c r="G2" s="106" t="s">
        <v>142</v>
      </c>
      <c r="H2" s="106" t="s">
        <v>131</v>
      </c>
      <c r="I2" s="106" t="s">
        <v>143</v>
      </c>
      <c r="J2" s="106" t="s">
        <v>718</v>
      </c>
      <c r="K2" s="106" t="s">
        <v>719</v>
      </c>
      <c r="L2" s="106" t="s">
        <v>746</v>
      </c>
      <c r="M2" s="106" t="s">
        <v>747</v>
      </c>
      <c r="N2" s="106" t="s">
        <v>128</v>
      </c>
      <c r="O2" s="106" t="s">
        <v>129</v>
      </c>
      <c r="P2" s="106" t="s">
        <v>117</v>
      </c>
      <c r="Q2" s="106" t="s">
        <v>141</v>
      </c>
      <c r="R2" s="194" t="s">
        <v>110</v>
      </c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</row>
    <row r="3" spans="2:29" x14ac:dyDescent="0.35">
      <c r="B3" s="195">
        <v>1</v>
      </c>
      <c r="C3" s="345" t="s">
        <v>101</v>
      </c>
      <c r="D3" s="189" t="s">
        <v>71</v>
      </c>
      <c r="E3" s="31" t="s">
        <v>73</v>
      </c>
      <c r="F3" s="31">
        <v>600</v>
      </c>
      <c r="G3" s="31">
        <f>F3*11</f>
        <v>6600</v>
      </c>
      <c r="H3" s="31">
        <v>400</v>
      </c>
      <c r="I3" s="31">
        <f>H3*5</f>
        <v>2000</v>
      </c>
      <c r="J3" s="31"/>
      <c r="K3" s="188">
        <f t="shared" ref="K3:K8" si="0">J3*4</f>
        <v>0</v>
      </c>
      <c r="L3" s="188"/>
      <c r="M3" s="188"/>
      <c r="N3" s="188">
        <f>SUM(I3,G3,K3,M3)</f>
        <v>8600</v>
      </c>
      <c r="O3" s="28">
        <f>4500-600-400-600-400-600</f>
        <v>1900</v>
      </c>
      <c r="P3" s="31">
        <f>O3-N3</f>
        <v>-6700</v>
      </c>
      <c r="Q3" s="192">
        <v>10000</v>
      </c>
      <c r="R3" s="190" t="s">
        <v>610</v>
      </c>
    </row>
    <row r="4" spans="2:29" x14ac:dyDescent="0.35">
      <c r="B4" s="30">
        <v>2</v>
      </c>
      <c r="C4" s="347"/>
      <c r="D4" s="191" t="s">
        <v>72</v>
      </c>
      <c r="E4" s="7" t="s">
        <v>73</v>
      </c>
      <c r="F4" s="7">
        <v>500</v>
      </c>
      <c r="G4" s="7">
        <f t="shared" ref="G4:G26" si="1">F4*11</f>
        <v>5500</v>
      </c>
      <c r="H4" s="7">
        <v>200</v>
      </c>
      <c r="I4" s="7">
        <f t="shared" ref="I4:I26" si="2">H4*5</f>
        <v>1000</v>
      </c>
      <c r="J4" s="7"/>
      <c r="K4" s="7">
        <f t="shared" si="0"/>
        <v>0</v>
      </c>
      <c r="L4" s="7"/>
      <c r="M4" s="7"/>
      <c r="N4" s="7">
        <f t="shared" ref="N4:N26" si="3">SUM(I4,G4,K4,M4)</f>
        <v>6500</v>
      </c>
      <c r="O4" s="2">
        <f>5500-500-200-500-200-500</f>
        <v>3600</v>
      </c>
      <c r="P4" s="7">
        <f t="shared" ref="P4:P26" si="4">O4-N4</f>
        <v>-2900</v>
      </c>
      <c r="Q4" s="193">
        <v>5000</v>
      </c>
      <c r="R4" s="110" t="s">
        <v>610</v>
      </c>
    </row>
    <row r="5" spans="2:29" ht="15" thickBot="1" x14ac:dyDescent="0.4">
      <c r="B5" s="30">
        <v>3</v>
      </c>
      <c r="C5" s="347"/>
      <c r="D5" s="191" t="s">
        <v>74</v>
      </c>
      <c r="E5" s="7" t="s">
        <v>73</v>
      </c>
      <c r="F5" s="7">
        <v>300</v>
      </c>
      <c r="G5" s="7">
        <f t="shared" si="1"/>
        <v>3300</v>
      </c>
      <c r="H5" s="7"/>
      <c r="I5" s="7">
        <f t="shared" si="2"/>
        <v>0</v>
      </c>
      <c r="J5" s="7"/>
      <c r="K5" s="7">
        <f t="shared" si="0"/>
        <v>0</v>
      </c>
      <c r="L5" s="7"/>
      <c r="M5" s="7"/>
      <c r="N5" s="7">
        <f t="shared" si="3"/>
        <v>3300</v>
      </c>
      <c r="O5" s="2">
        <f>4500-300-300</f>
        <v>3900</v>
      </c>
      <c r="P5" s="7">
        <f t="shared" si="4"/>
        <v>600</v>
      </c>
      <c r="Q5" s="193"/>
      <c r="R5" s="18"/>
    </row>
    <row r="6" spans="2:29" ht="15" thickBot="1" x14ac:dyDescent="0.4">
      <c r="B6" s="195">
        <v>4</v>
      </c>
      <c r="C6" s="347"/>
      <c r="D6" s="283" t="s">
        <v>74</v>
      </c>
      <c r="E6" s="284" t="s">
        <v>78</v>
      </c>
      <c r="F6" s="284"/>
      <c r="G6" s="284">
        <f t="shared" si="1"/>
        <v>0</v>
      </c>
      <c r="H6" s="284">
        <v>100</v>
      </c>
      <c r="I6" s="284">
        <f t="shared" si="2"/>
        <v>500</v>
      </c>
      <c r="J6" s="284">
        <v>104</v>
      </c>
      <c r="K6" s="284">
        <f t="shared" si="0"/>
        <v>416</v>
      </c>
      <c r="L6" s="284">
        <v>104</v>
      </c>
      <c r="M6" s="284">
        <f>L6*12</f>
        <v>1248</v>
      </c>
      <c r="N6" s="284">
        <f t="shared" si="3"/>
        <v>2164</v>
      </c>
      <c r="O6" s="284">
        <f>2900-300-200-300</f>
        <v>2100</v>
      </c>
      <c r="P6" s="284">
        <f t="shared" si="4"/>
        <v>-64</v>
      </c>
      <c r="Q6" s="285"/>
      <c r="R6" s="286"/>
    </row>
    <row r="7" spans="2:29" ht="15" thickBot="1" x14ac:dyDescent="0.4">
      <c r="B7" s="195">
        <v>5</v>
      </c>
      <c r="C7" s="347"/>
      <c r="D7" s="191" t="s">
        <v>75</v>
      </c>
      <c r="E7" s="7" t="s">
        <v>76</v>
      </c>
      <c r="F7" s="7">
        <v>150</v>
      </c>
      <c r="G7" s="7">
        <f t="shared" si="1"/>
        <v>1650</v>
      </c>
      <c r="H7" s="7"/>
      <c r="I7" s="7">
        <f t="shared" si="2"/>
        <v>0</v>
      </c>
      <c r="J7" s="7"/>
      <c r="K7" s="7">
        <f t="shared" si="0"/>
        <v>0</v>
      </c>
      <c r="L7" s="7"/>
      <c r="M7" s="7"/>
      <c r="N7" s="7">
        <f t="shared" si="3"/>
        <v>1650</v>
      </c>
      <c r="O7" s="2">
        <f>3000-120-120-120-20</f>
        <v>2620</v>
      </c>
      <c r="P7" s="7">
        <f t="shared" si="4"/>
        <v>970</v>
      </c>
      <c r="Q7" s="193"/>
      <c r="R7" s="18"/>
    </row>
    <row r="8" spans="2:29" x14ac:dyDescent="0.35">
      <c r="B8" s="195">
        <v>6</v>
      </c>
      <c r="C8" s="347"/>
      <c r="D8" s="283" t="s">
        <v>720</v>
      </c>
      <c r="E8" s="284" t="s">
        <v>745</v>
      </c>
      <c r="F8" s="284"/>
      <c r="G8" s="284"/>
      <c r="H8" s="284"/>
      <c r="I8" s="284"/>
      <c r="J8" s="284">
        <v>104</v>
      </c>
      <c r="K8" s="284">
        <f t="shared" si="0"/>
        <v>416</v>
      </c>
      <c r="L8" s="284"/>
      <c r="M8" s="284"/>
      <c r="N8" s="284">
        <f t="shared" si="3"/>
        <v>416</v>
      </c>
      <c r="O8" s="225"/>
      <c r="P8" s="284">
        <f t="shared" si="4"/>
        <v>-416</v>
      </c>
      <c r="Q8" s="287"/>
      <c r="R8" s="286"/>
    </row>
    <row r="9" spans="2:29" ht="15" thickBot="1" x14ac:dyDescent="0.4">
      <c r="B9" s="30">
        <v>7</v>
      </c>
      <c r="C9" s="347"/>
      <c r="D9" s="283" t="s">
        <v>72</v>
      </c>
      <c r="E9" s="284" t="s">
        <v>745</v>
      </c>
      <c r="F9" s="284"/>
      <c r="G9" s="284"/>
      <c r="H9" s="284"/>
      <c r="I9" s="284"/>
      <c r="J9" s="284"/>
      <c r="K9" s="284"/>
      <c r="L9" s="284">
        <v>104</v>
      </c>
      <c r="M9" s="284">
        <f>L9*12</f>
        <v>1248</v>
      </c>
      <c r="N9" s="284">
        <f t="shared" si="3"/>
        <v>1248</v>
      </c>
      <c r="O9" s="225"/>
      <c r="P9" s="284">
        <f t="shared" si="4"/>
        <v>-1248</v>
      </c>
      <c r="Q9" s="287"/>
      <c r="R9" s="286"/>
    </row>
    <row r="10" spans="2:29" ht="15" thickBot="1" x14ac:dyDescent="0.4">
      <c r="B10" s="195">
        <v>8</v>
      </c>
      <c r="C10" s="347"/>
      <c r="D10" s="191" t="s">
        <v>77</v>
      </c>
      <c r="E10" s="7" t="s">
        <v>78</v>
      </c>
      <c r="F10" s="7">
        <v>150</v>
      </c>
      <c r="G10" s="7">
        <f t="shared" si="1"/>
        <v>1650</v>
      </c>
      <c r="H10" s="7">
        <v>150</v>
      </c>
      <c r="I10" s="7">
        <f t="shared" si="2"/>
        <v>750</v>
      </c>
      <c r="J10" s="7"/>
      <c r="K10" s="7">
        <f>J10*4</f>
        <v>0</v>
      </c>
      <c r="L10" s="7"/>
      <c r="M10" s="7"/>
      <c r="N10" s="186">
        <f t="shared" si="3"/>
        <v>2400</v>
      </c>
      <c r="O10" s="7">
        <f>1700-150-120-150</f>
        <v>1280</v>
      </c>
      <c r="P10" s="7">
        <f t="shared" si="4"/>
        <v>-1120</v>
      </c>
      <c r="Q10" s="7">
        <v>1200</v>
      </c>
      <c r="R10" s="110" t="s">
        <v>610</v>
      </c>
    </row>
    <row r="11" spans="2:29" ht="15" thickBot="1" x14ac:dyDescent="0.4">
      <c r="B11" s="195">
        <v>9</v>
      </c>
      <c r="C11" s="346"/>
      <c r="D11" s="277" t="s">
        <v>83</v>
      </c>
      <c r="E11" s="104" t="s">
        <v>717</v>
      </c>
      <c r="F11" s="104"/>
      <c r="G11" s="104"/>
      <c r="H11" s="104"/>
      <c r="I11" s="104"/>
      <c r="J11" s="104">
        <f>2*26</f>
        <v>52</v>
      </c>
      <c r="K11" s="104">
        <f>J11*4</f>
        <v>208</v>
      </c>
      <c r="L11" s="104"/>
      <c r="M11" s="104"/>
      <c r="N11" s="188">
        <f t="shared" si="3"/>
        <v>208</v>
      </c>
      <c r="O11" s="104"/>
      <c r="P11" s="8">
        <f t="shared" si="4"/>
        <v>-208</v>
      </c>
      <c r="Q11" s="109"/>
      <c r="R11" s="111"/>
    </row>
    <row r="12" spans="2:29" ht="15" thickBot="1" x14ac:dyDescent="0.4">
      <c r="B12" s="30">
        <v>10</v>
      </c>
      <c r="C12" s="345" t="s">
        <v>79</v>
      </c>
      <c r="D12" s="189" t="s">
        <v>140</v>
      </c>
      <c r="E12" s="31" t="s">
        <v>80</v>
      </c>
      <c r="F12" s="31"/>
      <c r="G12" s="31">
        <f t="shared" si="1"/>
        <v>0</v>
      </c>
      <c r="H12" s="31">
        <v>100</v>
      </c>
      <c r="I12" s="31">
        <f t="shared" si="2"/>
        <v>500</v>
      </c>
      <c r="J12" s="31"/>
      <c r="K12" s="31">
        <f t="shared" ref="K12:K26" si="5">J12*4</f>
        <v>0</v>
      </c>
      <c r="L12" s="31"/>
      <c r="M12" s="31"/>
      <c r="N12" s="188">
        <f t="shared" si="3"/>
        <v>500</v>
      </c>
      <c r="O12" s="28">
        <f>800-100-100</f>
        <v>600</v>
      </c>
      <c r="P12" s="31">
        <f t="shared" si="4"/>
        <v>100</v>
      </c>
      <c r="Q12" s="192">
        <v>1000</v>
      </c>
      <c r="R12" s="190" t="s">
        <v>610</v>
      </c>
    </row>
    <row r="13" spans="2:29" ht="15" thickBot="1" x14ac:dyDescent="0.4">
      <c r="B13" s="195">
        <v>11</v>
      </c>
      <c r="C13" s="346"/>
      <c r="D13" s="304" t="s">
        <v>81</v>
      </c>
      <c r="E13" s="8" t="s">
        <v>80</v>
      </c>
      <c r="F13" s="8">
        <v>500</v>
      </c>
      <c r="G13" s="8">
        <f t="shared" si="1"/>
        <v>5500</v>
      </c>
      <c r="H13" s="8">
        <v>300</v>
      </c>
      <c r="I13" s="8">
        <f t="shared" si="2"/>
        <v>1500</v>
      </c>
      <c r="J13" s="8"/>
      <c r="K13" s="8">
        <f t="shared" si="5"/>
        <v>0</v>
      </c>
      <c r="L13" s="8"/>
      <c r="M13" s="8"/>
      <c r="N13" s="8">
        <f t="shared" si="3"/>
        <v>7000</v>
      </c>
      <c r="O13" s="19">
        <f>5000-500-300-500-300-500</f>
        <v>2900</v>
      </c>
      <c r="P13" s="8">
        <f t="shared" si="4"/>
        <v>-4100</v>
      </c>
      <c r="Q13" s="305">
        <v>3000</v>
      </c>
      <c r="R13" s="111" t="s">
        <v>610</v>
      </c>
    </row>
    <row r="14" spans="2:29" x14ac:dyDescent="0.35">
      <c r="B14" s="30">
        <v>12</v>
      </c>
      <c r="C14" s="345" t="s">
        <v>82</v>
      </c>
      <c r="D14" s="299" t="s">
        <v>83</v>
      </c>
      <c r="E14" s="300" t="s">
        <v>84</v>
      </c>
      <c r="F14" s="300">
        <v>200</v>
      </c>
      <c r="G14" s="300">
        <f t="shared" si="1"/>
        <v>2200</v>
      </c>
      <c r="H14" s="300"/>
      <c r="I14" s="300">
        <f t="shared" si="2"/>
        <v>0</v>
      </c>
      <c r="J14" s="300"/>
      <c r="K14" s="186">
        <f t="shared" si="5"/>
        <v>0</v>
      </c>
      <c r="L14" s="186"/>
      <c r="M14" s="186"/>
      <c r="N14" s="186">
        <f t="shared" si="3"/>
        <v>2200</v>
      </c>
      <c r="O14" s="301">
        <f>1200-200-200-200</f>
        <v>600</v>
      </c>
      <c r="P14" s="300">
        <f t="shared" si="4"/>
        <v>-1600</v>
      </c>
      <c r="Q14" s="302">
        <v>2000</v>
      </c>
      <c r="R14" s="303" t="s">
        <v>610</v>
      </c>
    </row>
    <row r="15" spans="2:29" ht="15" thickBot="1" x14ac:dyDescent="0.4">
      <c r="B15" s="30">
        <v>13</v>
      </c>
      <c r="C15" s="347"/>
      <c r="D15" s="191" t="s">
        <v>74</v>
      </c>
      <c r="E15" s="7" t="s">
        <v>84</v>
      </c>
      <c r="F15" s="7">
        <v>150</v>
      </c>
      <c r="G15" s="7">
        <f t="shared" si="1"/>
        <v>1650</v>
      </c>
      <c r="H15" s="7"/>
      <c r="I15" s="7">
        <f t="shared" si="2"/>
        <v>0</v>
      </c>
      <c r="J15" s="7"/>
      <c r="K15" s="7">
        <f t="shared" si="5"/>
        <v>0</v>
      </c>
      <c r="L15" s="7"/>
      <c r="M15" s="7"/>
      <c r="N15" s="7">
        <f t="shared" si="3"/>
        <v>1650</v>
      </c>
      <c r="O15" s="2">
        <f>900-130-120-130</f>
        <v>520</v>
      </c>
      <c r="P15" s="7">
        <f t="shared" si="4"/>
        <v>-1130</v>
      </c>
      <c r="Q15" s="193">
        <v>1500</v>
      </c>
      <c r="R15" s="110" t="s">
        <v>610</v>
      </c>
    </row>
    <row r="16" spans="2:29" ht="15" thickBot="1" x14ac:dyDescent="0.4">
      <c r="B16" s="195">
        <v>14</v>
      </c>
      <c r="C16" s="347"/>
      <c r="D16" s="279" t="s">
        <v>85</v>
      </c>
      <c r="E16" s="185" t="s">
        <v>84</v>
      </c>
      <c r="F16" s="185">
        <v>150</v>
      </c>
      <c r="G16" s="185">
        <f t="shared" si="1"/>
        <v>1650</v>
      </c>
      <c r="H16" s="185"/>
      <c r="I16" s="185">
        <f t="shared" si="2"/>
        <v>0</v>
      </c>
      <c r="J16" s="185"/>
      <c r="K16" s="186">
        <f t="shared" si="5"/>
        <v>0</v>
      </c>
      <c r="L16" s="186"/>
      <c r="M16" s="186"/>
      <c r="N16" s="7">
        <f t="shared" si="3"/>
        <v>1650</v>
      </c>
      <c r="O16" s="156">
        <f>900-130-130-130</f>
        <v>510</v>
      </c>
      <c r="P16" s="185">
        <f t="shared" si="4"/>
        <v>-1140</v>
      </c>
      <c r="Q16" s="187">
        <v>1500</v>
      </c>
      <c r="R16" s="196" t="s">
        <v>610</v>
      </c>
    </row>
    <row r="17" spans="2:18" ht="15" thickBot="1" x14ac:dyDescent="0.4">
      <c r="B17" s="195">
        <v>15</v>
      </c>
      <c r="C17" s="346"/>
      <c r="D17" s="280" t="s">
        <v>71</v>
      </c>
      <c r="E17" s="281" t="s">
        <v>84</v>
      </c>
      <c r="F17" s="281"/>
      <c r="G17" s="281"/>
      <c r="H17" s="281"/>
      <c r="I17" s="281"/>
      <c r="J17" s="281">
        <v>104</v>
      </c>
      <c r="K17" s="281">
        <f>J17*12</f>
        <v>1248</v>
      </c>
      <c r="L17" s="281">
        <v>104</v>
      </c>
      <c r="M17" s="281">
        <f>L17*12</f>
        <v>1248</v>
      </c>
      <c r="N17" s="291">
        <f>SUM(I17,G17,K17,M17)</f>
        <v>2496</v>
      </c>
      <c r="O17" s="234"/>
      <c r="P17" s="281">
        <f t="shared" si="4"/>
        <v>-2496</v>
      </c>
      <c r="Q17" s="281"/>
      <c r="R17" s="282"/>
    </row>
    <row r="18" spans="2:18" ht="15" thickBot="1" x14ac:dyDescent="0.4">
      <c r="B18" s="30">
        <v>16</v>
      </c>
      <c r="C18" s="345" t="s">
        <v>86</v>
      </c>
      <c r="D18" s="297" t="s">
        <v>748</v>
      </c>
      <c r="E18" s="288" t="s">
        <v>749</v>
      </c>
      <c r="F18" s="288"/>
      <c r="G18" s="288"/>
      <c r="H18" s="288"/>
      <c r="I18" s="288"/>
      <c r="J18" s="288"/>
      <c r="K18" s="288"/>
      <c r="L18" s="288">
        <v>52</v>
      </c>
      <c r="M18" s="288">
        <f>L18*12</f>
        <v>624</v>
      </c>
      <c r="N18" s="288">
        <f t="shared" si="3"/>
        <v>624</v>
      </c>
      <c r="O18" s="250"/>
      <c r="P18" s="288">
        <f t="shared" si="4"/>
        <v>-624</v>
      </c>
      <c r="Q18" s="288"/>
      <c r="R18" s="298"/>
    </row>
    <row r="19" spans="2:18" ht="15" thickBot="1" x14ac:dyDescent="0.4">
      <c r="B19" s="195">
        <v>17</v>
      </c>
      <c r="C19" s="346"/>
      <c r="D19" s="292" t="s">
        <v>87</v>
      </c>
      <c r="E19" s="104" t="s">
        <v>80</v>
      </c>
      <c r="F19" s="104">
        <v>150</v>
      </c>
      <c r="G19" s="104">
        <f t="shared" si="1"/>
        <v>1650</v>
      </c>
      <c r="H19" s="104">
        <v>200</v>
      </c>
      <c r="I19" s="104">
        <f t="shared" si="2"/>
        <v>1000</v>
      </c>
      <c r="J19" s="104"/>
      <c r="K19" s="104">
        <f t="shared" si="5"/>
        <v>0</v>
      </c>
      <c r="L19" s="104"/>
      <c r="M19" s="104"/>
      <c r="N19" s="186">
        <f>SUM(I19,G19,K19,M19)</f>
        <v>2650</v>
      </c>
      <c r="O19" s="175">
        <f>3000-120-200-120-120</f>
        <v>2440</v>
      </c>
      <c r="P19" s="109">
        <f t="shared" si="4"/>
        <v>-210</v>
      </c>
      <c r="Q19" s="104">
        <v>400</v>
      </c>
      <c r="R19" s="278" t="s">
        <v>610</v>
      </c>
    </row>
    <row r="20" spans="2:18" ht="15" thickBot="1" x14ac:dyDescent="0.4">
      <c r="B20" s="30">
        <v>18</v>
      </c>
      <c r="C20" s="343" t="s">
        <v>91</v>
      </c>
      <c r="D20" s="31" t="s">
        <v>92</v>
      </c>
      <c r="E20" s="31" t="s">
        <v>93</v>
      </c>
      <c r="F20" s="31">
        <v>150</v>
      </c>
      <c r="G20" s="31">
        <f t="shared" si="1"/>
        <v>1650</v>
      </c>
      <c r="H20" s="31">
        <v>200</v>
      </c>
      <c r="I20" s="31">
        <f t="shared" si="2"/>
        <v>1000</v>
      </c>
      <c r="J20" s="31"/>
      <c r="K20" s="188">
        <f t="shared" si="5"/>
        <v>0</v>
      </c>
      <c r="L20" s="31"/>
      <c r="M20" s="31"/>
      <c r="N20" s="188">
        <f t="shared" si="3"/>
        <v>2650</v>
      </c>
      <c r="O20" s="116">
        <f>3000-130-200-130-200-120</f>
        <v>2220</v>
      </c>
      <c r="P20" s="107">
        <f t="shared" si="4"/>
        <v>-430</v>
      </c>
      <c r="Q20" s="31">
        <v>1000</v>
      </c>
      <c r="R20" s="190" t="s">
        <v>610</v>
      </c>
    </row>
    <row r="21" spans="2:18" ht="15" thickBot="1" x14ac:dyDescent="0.4">
      <c r="B21" s="30">
        <v>19</v>
      </c>
      <c r="C21" s="344"/>
      <c r="D21" s="185" t="s">
        <v>94</v>
      </c>
      <c r="E21" s="185" t="s">
        <v>93</v>
      </c>
      <c r="F21" s="185">
        <v>150</v>
      </c>
      <c r="G21" s="185">
        <f t="shared" si="1"/>
        <v>1650</v>
      </c>
      <c r="H21" s="185"/>
      <c r="I21" s="185">
        <f t="shared" si="2"/>
        <v>0</v>
      </c>
      <c r="J21" s="185"/>
      <c r="K21" s="185">
        <f t="shared" si="5"/>
        <v>0</v>
      </c>
      <c r="L21" s="186"/>
      <c r="M21" s="186"/>
      <c r="N21" s="188">
        <f t="shared" si="3"/>
        <v>1650</v>
      </c>
      <c r="O21" s="306">
        <f>3000-130-130-104</f>
        <v>2636</v>
      </c>
      <c r="P21" s="308">
        <f t="shared" si="4"/>
        <v>986</v>
      </c>
      <c r="Q21" s="185"/>
      <c r="R21" s="310"/>
    </row>
    <row r="22" spans="2:18" ht="15" thickBot="1" x14ac:dyDescent="0.4">
      <c r="B22" s="195">
        <v>20</v>
      </c>
      <c r="C22" s="197" t="s">
        <v>88</v>
      </c>
      <c r="D22" s="33" t="s">
        <v>89</v>
      </c>
      <c r="E22" s="34" t="s">
        <v>90</v>
      </c>
      <c r="F22" s="34">
        <v>200</v>
      </c>
      <c r="G22" s="34">
        <f t="shared" si="1"/>
        <v>2200</v>
      </c>
      <c r="H22" s="34"/>
      <c r="I22" s="34">
        <f t="shared" si="2"/>
        <v>0</v>
      </c>
      <c r="J22" s="34"/>
      <c r="K22" s="34">
        <f t="shared" si="5"/>
        <v>0</v>
      </c>
      <c r="L22" s="34"/>
      <c r="M22" s="34"/>
      <c r="N22" s="34">
        <f t="shared" si="3"/>
        <v>2200</v>
      </c>
      <c r="O22" s="34">
        <f>200-200</f>
        <v>0</v>
      </c>
      <c r="P22" s="35">
        <f t="shared" si="4"/>
        <v>-2200</v>
      </c>
      <c r="Q22" s="108">
        <v>3000</v>
      </c>
      <c r="R22" s="198" t="s">
        <v>610</v>
      </c>
    </row>
    <row r="23" spans="2:18" ht="15" thickBot="1" x14ac:dyDescent="0.4">
      <c r="B23" s="195">
        <v>21</v>
      </c>
      <c r="C23" s="343" t="s">
        <v>96</v>
      </c>
      <c r="D23" s="31" t="s">
        <v>92</v>
      </c>
      <c r="E23" s="31" t="s">
        <v>95</v>
      </c>
      <c r="F23" s="31">
        <v>300</v>
      </c>
      <c r="G23" s="31">
        <f t="shared" si="1"/>
        <v>3300</v>
      </c>
      <c r="H23" s="31">
        <v>200</v>
      </c>
      <c r="I23" s="31">
        <f t="shared" si="2"/>
        <v>1000</v>
      </c>
      <c r="J23" s="31"/>
      <c r="K23" s="188">
        <f t="shared" si="5"/>
        <v>0</v>
      </c>
      <c r="L23" s="188"/>
      <c r="M23" s="188"/>
      <c r="N23" s="188">
        <f t="shared" si="3"/>
        <v>4300</v>
      </c>
      <c r="O23" s="116">
        <f>3000-300-200-300-200-300</f>
        <v>1700</v>
      </c>
      <c r="P23" s="32">
        <f t="shared" si="4"/>
        <v>-2600</v>
      </c>
      <c r="Q23" s="107">
        <v>3000</v>
      </c>
      <c r="R23" s="190" t="s">
        <v>610</v>
      </c>
    </row>
    <row r="24" spans="2:18" ht="15" thickBot="1" x14ac:dyDescent="0.4">
      <c r="B24" s="195">
        <v>22</v>
      </c>
      <c r="C24" s="344"/>
      <c r="D24" s="185" t="s">
        <v>94</v>
      </c>
      <c r="E24" s="185" t="s">
        <v>95</v>
      </c>
      <c r="F24" s="185">
        <v>150</v>
      </c>
      <c r="G24" s="185">
        <f t="shared" si="1"/>
        <v>1650</v>
      </c>
      <c r="H24" s="185"/>
      <c r="I24" s="185">
        <f t="shared" si="2"/>
        <v>0</v>
      </c>
      <c r="J24" s="185"/>
      <c r="K24" s="185">
        <f t="shared" si="5"/>
        <v>0</v>
      </c>
      <c r="L24" s="185"/>
      <c r="M24" s="185"/>
      <c r="N24" s="185">
        <f t="shared" si="3"/>
        <v>1650</v>
      </c>
      <c r="O24" s="306">
        <f>3000-130-120-20</f>
        <v>2730</v>
      </c>
      <c r="P24" s="307">
        <f t="shared" si="4"/>
        <v>1080</v>
      </c>
      <c r="Q24" s="308">
        <v>1000</v>
      </c>
      <c r="R24" s="196" t="s">
        <v>610</v>
      </c>
    </row>
    <row r="25" spans="2:18" ht="15" thickBot="1" x14ac:dyDescent="0.4">
      <c r="B25" s="30">
        <v>23</v>
      </c>
      <c r="C25" s="197" t="s">
        <v>97</v>
      </c>
      <c r="D25" s="297" t="s">
        <v>94</v>
      </c>
      <c r="E25" s="288" t="s">
        <v>98</v>
      </c>
      <c r="F25" s="288">
        <v>200</v>
      </c>
      <c r="G25" s="288">
        <f t="shared" si="1"/>
        <v>2200</v>
      </c>
      <c r="H25" s="288"/>
      <c r="I25" s="288">
        <f t="shared" si="2"/>
        <v>0</v>
      </c>
      <c r="J25" s="288">
        <v>52</v>
      </c>
      <c r="K25" s="288">
        <f t="shared" si="5"/>
        <v>208</v>
      </c>
      <c r="L25" s="288"/>
      <c r="M25" s="288"/>
      <c r="N25" s="288">
        <f t="shared" si="3"/>
        <v>2408</v>
      </c>
      <c r="O25" s="288">
        <f>1000-200-200-200</f>
        <v>400</v>
      </c>
      <c r="P25" s="289">
        <f t="shared" si="4"/>
        <v>-2008</v>
      </c>
      <c r="Q25" s="290">
        <v>3000</v>
      </c>
      <c r="R25" s="298" t="s">
        <v>610</v>
      </c>
    </row>
    <row r="26" spans="2:18" ht="15" thickBot="1" x14ac:dyDescent="0.4">
      <c r="B26" s="197">
        <v>24</v>
      </c>
      <c r="C26" s="277" t="s">
        <v>100</v>
      </c>
      <c r="D26" s="104" t="s">
        <v>99</v>
      </c>
      <c r="E26" s="104"/>
      <c r="F26" s="104">
        <v>100</v>
      </c>
      <c r="G26" s="104">
        <f t="shared" si="1"/>
        <v>1100</v>
      </c>
      <c r="H26" s="104"/>
      <c r="I26" s="104">
        <f t="shared" si="2"/>
        <v>0</v>
      </c>
      <c r="J26" s="104"/>
      <c r="K26" s="104">
        <f t="shared" si="5"/>
        <v>0</v>
      </c>
      <c r="L26" s="104"/>
      <c r="M26" s="104"/>
      <c r="N26" s="104">
        <f t="shared" si="3"/>
        <v>1100</v>
      </c>
      <c r="O26" s="309">
        <f>200-78-200</f>
        <v>-78</v>
      </c>
      <c r="P26" s="105">
        <f t="shared" si="4"/>
        <v>-1178</v>
      </c>
      <c r="Q26" s="109">
        <v>1200</v>
      </c>
      <c r="R26" s="278" t="s">
        <v>610</v>
      </c>
    </row>
  </sheetData>
  <mergeCells count="7">
    <mergeCell ref="B1:R1"/>
    <mergeCell ref="C20:C21"/>
    <mergeCell ref="C23:C24"/>
    <mergeCell ref="C12:C13"/>
    <mergeCell ref="C3:C11"/>
    <mergeCell ref="C14:C17"/>
    <mergeCell ref="C18:C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8"/>
  <sheetViews>
    <sheetView workbookViewId="0">
      <pane xSplit="5" ySplit="2" topLeftCell="F3" activePane="bottomRight" state="frozen"/>
      <selection pane="topRight" activeCell="G1" sqref="G1"/>
      <selection pane="bottomLeft" activeCell="A10" sqref="A10"/>
      <selection pane="bottomRight" activeCell="N11" sqref="N11"/>
    </sheetView>
  </sheetViews>
  <sheetFormatPr defaultRowHeight="14.5" x14ac:dyDescent="0.35"/>
  <cols>
    <col min="1" max="1" width="8.7265625" style="1"/>
    <col min="2" max="2" width="17.08984375" style="1" bestFit="1" customWidth="1"/>
    <col min="3" max="3" width="22.08984375" style="1" customWidth="1"/>
    <col min="4" max="4" width="0" style="1" hidden="1" customWidth="1"/>
    <col min="5" max="5" width="13.7265625" style="1" customWidth="1"/>
    <col min="6" max="6" width="12.54296875" style="1" customWidth="1"/>
    <col min="7" max="16384" width="8.7265625" style="1"/>
  </cols>
  <sheetData>
    <row r="1" spans="2:6" ht="23.5" customHeight="1" x14ac:dyDescent="0.35">
      <c r="B1" s="353" t="s">
        <v>127</v>
      </c>
      <c r="C1" s="354"/>
      <c r="D1" s="354"/>
      <c r="E1" s="354"/>
      <c r="F1" s="355"/>
    </row>
    <row r="2" spans="2:6" ht="19" customHeight="1" thickBot="1" x14ac:dyDescent="0.4">
      <c r="B2" s="25" t="s">
        <v>126</v>
      </c>
      <c r="C2" s="26" t="s">
        <v>102</v>
      </c>
      <c r="D2" s="26" t="s">
        <v>109</v>
      </c>
      <c r="E2" s="26" t="s">
        <v>116</v>
      </c>
      <c r="F2" s="27" t="s">
        <v>117</v>
      </c>
    </row>
    <row r="3" spans="2:6" x14ac:dyDescent="0.35">
      <c r="B3" s="350" t="s">
        <v>157</v>
      </c>
      <c r="C3" s="157" t="s">
        <v>113</v>
      </c>
      <c r="D3" s="28">
        <v>26</v>
      </c>
      <c r="E3" s="28"/>
      <c r="F3" s="29"/>
    </row>
    <row r="4" spans="2:6" x14ac:dyDescent="0.35">
      <c r="B4" s="351"/>
      <c r="C4" s="158" t="s">
        <v>114</v>
      </c>
      <c r="D4" s="2">
        <v>26</v>
      </c>
      <c r="E4" s="2"/>
      <c r="F4" s="18"/>
    </row>
    <row r="5" spans="2:6" ht="15" thickBot="1" x14ac:dyDescent="0.4">
      <c r="B5" s="352"/>
      <c r="C5" s="114" t="s">
        <v>115</v>
      </c>
      <c r="D5" s="19">
        <v>26</v>
      </c>
      <c r="E5" s="19"/>
      <c r="F5" s="20"/>
    </row>
    <row r="6" spans="2:6" x14ac:dyDescent="0.35">
      <c r="B6" s="350" t="s">
        <v>118</v>
      </c>
      <c r="C6" s="157" t="s">
        <v>119</v>
      </c>
      <c r="D6" s="28">
        <v>26</v>
      </c>
      <c r="E6" s="28"/>
      <c r="F6" s="29"/>
    </row>
    <row r="7" spans="2:6" x14ac:dyDescent="0.35">
      <c r="B7" s="351"/>
      <c r="C7" s="158" t="s">
        <v>120</v>
      </c>
      <c r="D7" s="2">
        <v>26</v>
      </c>
      <c r="E7" s="2"/>
      <c r="F7" s="18"/>
    </row>
    <row r="8" spans="2:6" x14ac:dyDescent="0.35">
      <c r="B8" s="351"/>
      <c r="C8" s="158" t="s">
        <v>121</v>
      </c>
      <c r="D8" s="2">
        <v>26</v>
      </c>
      <c r="E8" s="2"/>
      <c r="F8" s="18"/>
    </row>
    <row r="9" spans="2:6" x14ac:dyDescent="0.35">
      <c r="B9" s="351"/>
      <c r="C9" s="158" t="s">
        <v>122</v>
      </c>
      <c r="D9" s="2">
        <v>26</v>
      </c>
      <c r="E9" s="2"/>
      <c r="F9" s="18"/>
    </row>
    <row r="10" spans="2:6" x14ac:dyDescent="0.35">
      <c r="B10" s="351"/>
      <c r="C10" s="158" t="s">
        <v>123</v>
      </c>
      <c r="D10" s="2">
        <v>26</v>
      </c>
      <c r="E10" s="2"/>
      <c r="F10" s="18"/>
    </row>
    <row r="11" spans="2:6" ht="15" thickBot="1" x14ac:dyDescent="0.4">
      <c r="B11" s="352"/>
      <c r="C11" s="114" t="s">
        <v>124</v>
      </c>
      <c r="D11" s="19">
        <v>26</v>
      </c>
      <c r="E11" s="19"/>
      <c r="F11" s="20"/>
    </row>
    <row r="12" spans="2:6" x14ac:dyDescent="0.35">
      <c r="B12" s="350" t="s">
        <v>125</v>
      </c>
      <c r="C12" s="176" t="s">
        <v>114</v>
      </c>
      <c r="D12" s="174">
        <v>26</v>
      </c>
      <c r="E12" s="174">
        <f>95-26-26</f>
        <v>43</v>
      </c>
      <c r="F12" s="29"/>
    </row>
    <row r="13" spans="2:6" x14ac:dyDescent="0.35">
      <c r="B13" s="348"/>
      <c r="C13" s="158" t="s">
        <v>113</v>
      </c>
      <c r="D13" s="2">
        <v>26</v>
      </c>
      <c r="E13" s="2">
        <f>121-26-26-26</f>
        <v>43</v>
      </c>
      <c r="F13" s="173"/>
    </row>
    <row r="14" spans="2:6" ht="15" thickBot="1" x14ac:dyDescent="0.4">
      <c r="B14" s="352"/>
      <c r="C14" s="115" t="s">
        <v>115</v>
      </c>
      <c r="D14" s="175">
        <v>26</v>
      </c>
      <c r="E14" s="175"/>
      <c r="F14" s="20"/>
    </row>
    <row r="15" spans="2:6" x14ac:dyDescent="0.35">
      <c r="B15" s="356" t="s">
        <v>136</v>
      </c>
      <c r="C15" s="154" t="s">
        <v>115</v>
      </c>
      <c r="D15" s="28">
        <v>26</v>
      </c>
      <c r="E15" s="174">
        <f>27-26</f>
        <v>1</v>
      </c>
      <c r="F15" s="29"/>
    </row>
    <row r="16" spans="2:6" ht="15" thickBot="1" x14ac:dyDescent="0.4">
      <c r="B16" s="349"/>
      <c r="C16" s="155" t="s">
        <v>114</v>
      </c>
      <c r="D16" s="177">
        <v>26</v>
      </c>
      <c r="E16" s="179">
        <f>48+48-3-26-26</f>
        <v>41</v>
      </c>
      <c r="F16" s="178"/>
    </row>
    <row r="17" spans="2:6" x14ac:dyDescent="0.35">
      <c r="B17" s="348" t="s">
        <v>614</v>
      </c>
      <c r="C17" s="180" t="s">
        <v>612</v>
      </c>
      <c r="D17" s="112"/>
      <c r="E17" s="112">
        <f>102-26-26-26</f>
        <v>24</v>
      </c>
      <c r="F17" s="113"/>
    </row>
    <row r="18" spans="2:6" ht="15" thickBot="1" x14ac:dyDescent="0.4">
      <c r="B18" s="349"/>
      <c r="C18" s="155" t="s">
        <v>613</v>
      </c>
      <c r="D18" s="19">
        <v>26</v>
      </c>
      <c r="E18" s="19">
        <f>102-26-26-26</f>
        <v>24</v>
      </c>
      <c r="F18" s="20"/>
    </row>
  </sheetData>
  <mergeCells count="6">
    <mergeCell ref="B17:B18"/>
    <mergeCell ref="B3:B5"/>
    <mergeCell ref="B1:F1"/>
    <mergeCell ref="B6:B11"/>
    <mergeCell ref="B12:B14"/>
    <mergeCell ref="B15:B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topLeftCell="A181" zoomScale="110" zoomScaleNormal="110" workbookViewId="0">
      <selection activeCell="E195" sqref="E195"/>
    </sheetView>
  </sheetViews>
  <sheetFormatPr defaultRowHeight="14.5" x14ac:dyDescent="0.35"/>
  <cols>
    <col min="1" max="1" width="5.36328125" style="43" bestFit="1" customWidth="1"/>
    <col min="2" max="2" width="17.54296875" style="43" bestFit="1" customWidth="1"/>
    <col min="3" max="3" width="22.6328125" bestFit="1" customWidth="1"/>
    <col min="4" max="4" width="24.36328125" bestFit="1" customWidth="1"/>
    <col min="5" max="5" width="25.81640625" customWidth="1"/>
    <col min="6" max="6" width="20.26953125" customWidth="1"/>
    <col min="7" max="7" width="7.08984375" style="1" bestFit="1" customWidth="1"/>
    <col min="8" max="8" width="8.90625" style="1" customWidth="1"/>
    <col min="9" max="9" width="7.6328125" style="1" bestFit="1" customWidth="1"/>
    <col min="10" max="10" width="7.6328125" style="1" customWidth="1"/>
    <col min="11" max="11" width="5.81640625" bestFit="1" customWidth="1"/>
    <col min="12" max="12" width="23.08984375" bestFit="1" customWidth="1"/>
  </cols>
  <sheetData>
    <row r="1" spans="1:12" ht="32.5" customHeight="1" thickBot="1" x14ac:dyDescent="0.4">
      <c r="A1" s="335" t="s">
        <v>708</v>
      </c>
      <c r="B1" s="336"/>
      <c r="C1" s="336"/>
      <c r="D1" s="336"/>
      <c r="E1" s="336"/>
      <c r="F1" s="336"/>
      <c r="G1" s="336"/>
      <c r="H1" s="336"/>
      <c r="I1" s="336"/>
      <c r="J1" s="336"/>
      <c r="K1" s="337"/>
    </row>
    <row r="2" spans="1:12" ht="44" thickBot="1" x14ac:dyDescent="0.4">
      <c r="A2" s="131" t="s">
        <v>168</v>
      </c>
      <c r="B2" s="87" t="s">
        <v>590</v>
      </c>
      <c r="C2" s="88" t="s">
        <v>169</v>
      </c>
      <c r="D2" s="88" t="s">
        <v>170</v>
      </c>
      <c r="E2" s="88" t="s">
        <v>171</v>
      </c>
      <c r="F2" s="88" t="s">
        <v>172</v>
      </c>
      <c r="G2" s="89" t="s">
        <v>586</v>
      </c>
      <c r="H2" s="88" t="s">
        <v>587</v>
      </c>
      <c r="I2" s="144" t="s">
        <v>677</v>
      </c>
      <c r="J2" s="200" t="s">
        <v>722</v>
      </c>
      <c r="K2" s="88" t="s">
        <v>173</v>
      </c>
    </row>
    <row r="3" spans="1:12" ht="14.5" customHeight="1" thickBot="1" x14ac:dyDescent="0.4">
      <c r="A3" s="132">
        <v>1</v>
      </c>
      <c r="B3" s="364" t="s">
        <v>595</v>
      </c>
      <c r="C3" s="214" t="s">
        <v>371</v>
      </c>
      <c r="D3" s="215" t="s">
        <v>181</v>
      </c>
      <c r="E3" s="215" t="s">
        <v>372</v>
      </c>
      <c r="F3" s="215" t="s">
        <v>373</v>
      </c>
      <c r="G3" s="216">
        <v>1</v>
      </c>
      <c r="H3" s="216"/>
      <c r="I3" s="217"/>
      <c r="J3" s="206">
        <v>1</v>
      </c>
      <c r="K3" s="199">
        <f>(G3*182)+(H3*78)+(I3*250)+(J3*0)</f>
        <v>182</v>
      </c>
    </row>
    <row r="4" spans="1:12" ht="14.5" customHeight="1" thickBot="1" x14ac:dyDescent="0.4">
      <c r="A4" s="128">
        <v>2</v>
      </c>
      <c r="B4" s="365"/>
      <c r="C4" s="61" t="s">
        <v>183</v>
      </c>
      <c r="D4" s="42" t="s">
        <v>181</v>
      </c>
      <c r="E4" s="42" t="s">
        <v>184</v>
      </c>
      <c r="F4" s="42" t="s">
        <v>589</v>
      </c>
      <c r="G4" s="41">
        <v>15</v>
      </c>
      <c r="H4" s="41">
        <v>6</v>
      </c>
      <c r="I4" s="101"/>
      <c r="J4" s="48"/>
      <c r="K4" s="199">
        <f t="shared" ref="K4:K67" si="0">(G4*182)+(H4*78)+(I4*250)+(J4*0)</f>
        <v>3198</v>
      </c>
    </row>
    <row r="5" spans="1:12" ht="14.5" customHeight="1" thickBot="1" x14ac:dyDescent="0.4">
      <c r="A5" s="128">
        <v>3</v>
      </c>
      <c r="B5" s="365"/>
      <c r="C5" s="81" t="s">
        <v>525</v>
      </c>
      <c r="D5" s="41" t="s">
        <v>181</v>
      </c>
      <c r="E5" s="41" t="s">
        <v>564</v>
      </c>
      <c r="F5" s="82" t="s">
        <v>565</v>
      </c>
      <c r="G5" s="45">
        <v>36</v>
      </c>
      <c r="H5" s="45">
        <v>24</v>
      </c>
      <c r="I5" s="102"/>
      <c r="J5" s="201"/>
      <c r="K5" s="199">
        <f t="shared" si="0"/>
        <v>8424</v>
      </c>
      <c r="L5" s="99"/>
    </row>
    <row r="6" spans="1:12" ht="14.5" customHeight="1" thickBot="1" x14ac:dyDescent="0.4">
      <c r="A6" s="128">
        <v>4</v>
      </c>
      <c r="B6" s="365"/>
      <c r="C6" s="61" t="s">
        <v>377</v>
      </c>
      <c r="D6" s="42" t="s">
        <v>181</v>
      </c>
      <c r="E6" s="42" t="s">
        <v>401</v>
      </c>
      <c r="F6" s="42" t="s">
        <v>378</v>
      </c>
      <c r="G6" s="41">
        <v>19</v>
      </c>
      <c r="H6" s="41">
        <v>12</v>
      </c>
      <c r="I6" s="101"/>
      <c r="J6" s="48"/>
      <c r="K6" s="199">
        <f t="shared" si="0"/>
        <v>4394</v>
      </c>
    </row>
    <row r="7" spans="1:12" ht="14.5" customHeight="1" thickBot="1" x14ac:dyDescent="0.4">
      <c r="A7" s="132">
        <v>5</v>
      </c>
      <c r="B7" s="365"/>
      <c r="C7" s="61" t="s">
        <v>649</v>
      </c>
      <c r="D7" s="42" t="s">
        <v>181</v>
      </c>
      <c r="E7" s="42" t="s">
        <v>650</v>
      </c>
      <c r="F7" s="42" t="s">
        <v>651</v>
      </c>
      <c r="G7" s="41"/>
      <c r="H7" s="41"/>
      <c r="I7" s="101">
        <f>9+3</f>
        <v>12</v>
      </c>
      <c r="J7" s="48"/>
      <c r="K7" s="199">
        <f t="shared" si="0"/>
        <v>3000</v>
      </c>
    </row>
    <row r="8" spans="1:12" ht="14.5" customHeight="1" thickBot="1" x14ac:dyDescent="0.4">
      <c r="A8" s="128">
        <v>6</v>
      </c>
      <c r="B8" s="365"/>
      <c r="C8" s="61" t="s">
        <v>653</v>
      </c>
      <c r="D8" s="42" t="s">
        <v>181</v>
      </c>
      <c r="E8" s="42" t="s">
        <v>654</v>
      </c>
      <c r="F8" s="42" t="s">
        <v>656</v>
      </c>
      <c r="G8" s="41"/>
      <c r="H8" s="41"/>
      <c r="I8" s="101">
        <v>25</v>
      </c>
      <c r="J8" s="48"/>
      <c r="K8" s="199">
        <f t="shared" si="0"/>
        <v>6250</v>
      </c>
    </row>
    <row r="9" spans="1:12" ht="14.5" customHeight="1" thickBot="1" x14ac:dyDescent="0.4">
      <c r="A9" s="128">
        <v>7</v>
      </c>
      <c r="B9" s="365"/>
      <c r="C9" s="61" t="s">
        <v>646</v>
      </c>
      <c r="D9" s="42" t="s">
        <v>181</v>
      </c>
      <c r="E9" s="42" t="s">
        <v>647</v>
      </c>
      <c r="F9" s="42" t="s">
        <v>648</v>
      </c>
      <c r="G9" s="41"/>
      <c r="H9" s="41"/>
      <c r="I9" s="101">
        <v>2</v>
      </c>
      <c r="J9" s="48"/>
      <c r="K9" s="199">
        <f t="shared" si="0"/>
        <v>500</v>
      </c>
    </row>
    <row r="10" spans="1:12" ht="14.5" customHeight="1" thickBot="1" x14ac:dyDescent="0.4">
      <c r="A10" s="128">
        <v>8</v>
      </c>
      <c r="B10" s="365"/>
      <c r="C10" s="61" t="s">
        <v>374</v>
      </c>
      <c r="D10" s="42" t="s">
        <v>181</v>
      </c>
      <c r="E10" s="42" t="s">
        <v>375</v>
      </c>
      <c r="F10" s="42" t="s">
        <v>376</v>
      </c>
      <c r="G10" s="41">
        <v>40</v>
      </c>
      <c r="H10" s="41">
        <v>22</v>
      </c>
      <c r="I10" s="101"/>
      <c r="J10" s="48"/>
      <c r="K10" s="199">
        <f t="shared" si="0"/>
        <v>8996</v>
      </c>
    </row>
    <row r="11" spans="1:12" ht="14.5" customHeight="1" thickBot="1" x14ac:dyDescent="0.4">
      <c r="A11" s="132">
        <v>9</v>
      </c>
      <c r="B11" s="365"/>
      <c r="C11" s="61" t="s">
        <v>379</v>
      </c>
      <c r="D11" s="42" t="s">
        <v>181</v>
      </c>
      <c r="E11" s="42" t="s">
        <v>380</v>
      </c>
      <c r="F11" s="42" t="s">
        <v>381</v>
      </c>
      <c r="G11" s="41">
        <v>3</v>
      </c>
      <c r="H11" s="41">
        <v>2</v>
      </c>
      <c r="I11" s="101">
        <v>11</v>
      </c>
      <c r="J11" s="48"/>
      <c r="K11" s="199">
        <f t="shared" si="0"/>
        <v>3452</v>
      </c>
    </row>
    <row r="12" spans="1:12" ht="14.5" customHeight="1" thickBot="1" x14ac:dyDescent="0.4">
      <c r="A12" s="128">
        <v>10</v>
      </c>
      <c r="B12" s="365"/>
      <c r="C12" s="61" t="s">
        <v>426</v>
      </c>
      <c r="D12" s="42" t="s">
        <v>181</v>
      </c>
      <c r="E12" s="42" t="s">
        <v>427</v>
      </c>
      <c r="F12" s="42" t="s">
        <v>428</v>
      </c>
      <c r="G12" s="41">
        <v>6</v>
      </c>
      <c r="H12" s="41">
        <v>3</v>
      </c>
      <c r="I12" s="101"/>
      <c r="J12" s="48"/>
      <c r="K12" s="199">
        <f t="shared" si="0"/>
        <v>1326</v>
      </c>
    </row>
    <row r="13" spans="1:12" ht="14.5" customHeight="1" thickBot="1" x14ac:dyDescent="0.4">
      <c r="A13" s="128">
        <v>11</v>
      </c>
      <c r="B13" s="365"/>
      <c r="C13" s="60" t="s">
        <v>385</v>
      </c>
      <c r="D13" s="37" t="s">
        <v>181</v>
      </c>
      <c r="E13" s="37" t="s">
        <v>386</v>
      </c>
      <c r="F13" s="37" t="s">
        <v>387</v>
      </c>
      <c r="G13" s="36">
        <v>1</v>
      </c>
      <c r="H13" s="36"/>
      <c r="I13" s="145"/>
      <c r="J13" s="58"/>
      <c r="K13" s="199">
        <f t="shared" si="0"/>
        <v>182</v>
      </c>
    </row>
    <row r="14" spans="1:12" ht="14.5" customHeight="1" thickBot="1" x14ac:dyDescent="0.4">
      <c r="A14" s="128">
        <v>12</v>
      </c>
      <c r="B14" s="365"/>
      <c r="C14" s="81" t="s">
        <v>566</v>
      </c>
      <c r="D14" s="41" t="s">
        <v>181</v>
      </c>
      <c r="E14" s="41" t="s">
        <v>567</v>
      </c>
      <c r="F14" s="82" t="s">
        <v>568</v>
      </c>
      <c r="G14" s="45"/>
      <c r="H14" s="45">
        <v>3</v>
      </c>
      <c r="I14" s="102"/>
      <c r="J14" s="201"/>
      <c r="K14" s="199">
        <f t="shared" si="0"/>
        <v>234</v>
      </c>
    </row>
    <row r="15" spans="1:12" ht="14.5" customHeight="1" thickBot="1" x14ac:dyDescent="0.4">
      <c r="A15" s="132">
        <v>13</v>
      </c>
      <c r="B15" s="365"/>
      <c r="C15" s="61" t="s">
        <v>391</v>
      </c>
      <c r="D15" s="42" t="s">
        <v>181</v>
      </c>
      <c r="E15" s="42" t="s">
        <v>392</v>
      </c>
      <c r="F15" s="42" t="s">
        <v>393</v>
      </c>
      <c r="G15" s="41">
        <v>4</v>
      </c>
      <c r="H15" s="41">
        <v>2</v>
      </c>
      <c r="I15" s="101"/>
      <c r="J15" s="48"/>
      <c r="K15" s="199">
        <f t="shared" si="0"/>
        <v>884</v>
      </c>
    </row>
    <row r="16" spans="1:12" ht="14.5" customHeight="1" thickBot="1" x14ac:dyDescent="0.4">
      <c r="A16" s="128">
        <v>14</v>
      </c>
      <c r="B16" s="365"/>
      <c r="C16" s="71" t="s">
        <v>397</v>
      </c>
      <c r="D16" s="72" t="s">
        <v>181</v>
      </c>
      <c r="E16" s="72" t="s">
        <v>398</v>
      </c>
      <c r="F16" s="72" t="s">
        <v>399</v>
      </c>
      <c r="G16" s="73">
        <v>6</v>
      </c>
      <c r="H16" s="73"/>
      <c r="I16" s="145"/>
      <c r="J16" s="58"/>
      <c r="K16" s="199">
        <f t="shared" si="0"/>
        <v>1092</v>
      </c>
    </row>
    <row r="17" spans="1:11" ht="14.5" customHeight="1" thickBot="1" x14ac:dyDescent="0.4">
      <c r="A17" s="128">
        <v>15</v>
      </c>
      <c r="B17" s="365"/>
      <c r="C17" s="61" t="s">
        <v>483</v>
      </c>
      <c r="D17" s="42" t="s">
        <v>181</v>
      </c>
      <c r="E17" s="42" t="s">
        <v>484</v>
      </c>
      <c r="F17" s="42" t="s">
        <v>485</v>
      </c>
      <c r="G17" s="41">
        <v>1</v>
      </c>
      <c r="H17" s="41">
        <v>1</v>
      </c>
      <c r="I17" s="101"/>
      <c r="J17" s="48"/>
      <c r="K17" s="199">
        <f t="shared" si="0"/>
        <v>260</v>
      </c>
    </row>
    <row r="18" spans="1:11" ht="14.5" customHeight="1" thickBot="1" x14ac:dyDescent="0.4">
      <c r="A18" s="128">
        <v>16</v>
      </c>
      <c r="B18" s="365"/>
      <c r="C18" s="60" t="s">
        <v>486</v>
      </c>
      <c r="D18" s="37" t="s">
        <v>181</v>
      </c>
      <c r="E18" s="37" t="s">
        <v>487</v>
      </c>
      <c r="F18" s="37" t="s">
        <v>488</v>
      </c>
      <c r="G18" s="36">
        <v>1</v>
      </c>
      <c r="H18" s="41"/>
      <c r="I18" s="101"/>
      <c r="J18" s="48"/>
      <c r="K18" s="199">
        <f t="shared" si="0"/>
        <v>182</v>
      </c>
    </row>
    <row r="19" spans="1:11" ht="14.5" customHeight="1" thickBot="1" x14ac:dyDescent="0.4">
      <c r="A19" s="132">
        <v>17</v>
      </c>
      <c r="B19" s="365"/>
      <c r="C19" s="74" t="s">
        <v>462</v>
      </c>
      <c r="D19" s="55" t="s">
        <v>181</v>
      </c>
      <c r="E19" s="55" t="s">
        <v>463</v>
      </c>
      <c r="F19" s="55" t="s">
        <v>464</v>
      </c>
      <c r="G19" s="56">
        <v>2</v>
      </c>
      <c r="H19" s="56">
        <v>2</v>
      </c>
      <c r="I19" s="101"/>
      <c r="J19" s="48"/>
      <c r="K19" s="199">
        <f t="shared" si="0"/>
        <v>520</v>
      </c>
    </row>
    <row r="20" spans="1:11" s="43" customFormat="1" ht="14.5" customHeight="1" thickBot="1" x14ac:dyDescent="0.4">
      <c r="A20" s="128">
        <v>18</v>
      </c>
      <c r="B20" s="365"/>
      <c r="C20" s="61" t="s">
        <v>409</v>
      </c>
      <c r="D20" s="42" t="s">
        <v>181</v>
      </c>
      <c r="E20" s="42" t="s">
        <v>410</v>
      </c>
      <c r="F20" s="42" t="s">
        <v>411</v>
      </c>
      <c r="G20" s="41">
        <v>8</v>
      </c>
      <c r="H20" s="41">
        <v>3</v>
      </c>
      <c r="I20" s="101"/>
      <c r="J20" s="48"/>
      <c r="K20" s="199">
        <f t="shared" si="0"/>
        <v>1690</v>
      </c>
    </row>
    <row r="21" spans="1:11" s="43" customFormat="1" ht="14.5" customHeight="1" thickBot="1" x14ac:dyDescent="0.4">
      <c r="A21" s="132">
        <v>19</v>
      </c>
      <c r="B21" s="365"/>
      <c r="C21" s="204" t="s">
        <v>180</v>
      </c>
      <c r="D21" s="205" t="s">
        <v>181</v>
      </c>
      <c r="E21" s="205" t="s">
        <v>723</v>
      </c>
      <c r="F21" s="205" t="s">
        <v>724</v>
      </c>
      <c r="G21" s="206"/>
      <c r="H21" s="206"/>
      <c r="I21" s="207"/>
      <c r="J21" s="208">
        <v>4</v>
      </c>
      <c r="K21" s="199">
        <f t="shared" si="0"/>
        <v>0</v>
      </c>
    </row>
    <row r="22" spans="1:11" ht="14.5" customHeight="1" thickBot="1" x14ac:dyDescent="0.4">
      <c r="A22" s="132">
        <v>20</v>
      </c>
      <c r="B22" s="365"/>
      <c r="C22" s="61" t="s">
        <v>180</v>
      </c>
      <c r="D22" s="42" t="s">
        <v>181</v>
      </c>
      <c r="E22" s="42" t="s">
        <v>182</v>
      </c>
      <c r="F22" s="42" t="s">
        <v>652</v>
      </c>
      <c r="G22" s="41">
        <v>25</v>
      </c>
      <c r="H22" s="41">
        <v>14</v>
      </c>
      <c r="I22" s="101">
        <v>3</v>
      </c>
      <c r="J22" s="48"/>
      <c r="K22" s="199">
        <f t="shared" si="0"/>
        <v>6392</v>
      </c>
    </row>
    <row r="23" spans="1:11" ht="14.5" customHeight="1" thickBot="1" x14ac:dyDescent="0.4">
      <c r="A23" s="128">
        <v>21</v>
      </c>
      <c r="B23" s="365"/>
      <c r="C23" s="61" t="s">
        <v>180</v>
      </c>
      <c r="D23" s="42" t="s">
        <v>181</v>
      </c>
      <c r="E23" s="49" t="s">
        <v>658</v>
      </c>
      <c r="F23" s="49" t="s">
        <v>659</v>
      </c>
      <c r="G23" s="48"/>
      <c r="H23" s="48"/>
      <c r="I23" s="101">
        <v>2</v>
      </c>
      <c r="J23" s="48"/>
      <c r="K23" s="199">
        <f t="shared" si="0"/>
        <v>500</v>
      </c>
    </row>
    <row r="24" spans="1:11" ht="14.5" customHeight="1" thickBot="1" x14ac:dyDescent="0.4">
      <c r="A24" s="128">
        <v>22</v>
      </c>
      <c r="B24" s="365"/>
      <c r="C24" s="70" t="s">
        <v>471</v>
      </c>
      <c r="D24" s="49" t="s">
        <v>181</v>
      </c>
      <c r="E24" s="49" t="s">
        <v>472</v>
      </c>
      <c r="F24" s="49" t="s">
        <v>473</v>
      </c>
      <c r="G24" s="48">
        <v>1</v>
      </c>
      <c r="H24" s="48"/>
      <c r="I24" s="101"/>
      <c r="J24" s="48"/>
      <c r="K24" s="199">
        <f t="shared" si="0"/>
        <v>182</v>
      </c>
    </row>
    <row r="25" spans="1:11" ht="14.5" customHeight="1" thickBot="1" x14ac:dyDescent="0.4">
      <c r="A25" s="128">
        <v>23</v>
      </c>
      <c r="B25" s="365"/>
      <c r="C25" s="70" t="s">
        <v>625</v>
      </c>
      <c r="D25" s="49" t="s">
        <v>181</v>
      </c>
      <c r="E25" s="49" t="s">
        <v>626</v>
      </c>
      <c r="F25" s="49" t="s">
        <v>627</v>
      </c>
      <c r="G25" s="48"/>
      <c r="H25" s="48"/>
      <c r="I25" s="101">
        <v>1</v>
      </c>
      <c r="J25" s="48"/>
      <c r="K25" s="199">
        <f t="shared" si="0"/>
        <v>250</v>
      </c>
    </row>
    <row r="26" spans="1:11" ht="14.5" customHeight="1" thickBot="1" x14ac:dyDescent="0.4">
      <c r="A26" s="132">
        <v>24</v>
      </c>
      <c r="B26" s="365"/>
      <c r="C26" s="81" t="s">
        <v>574</v>
      </c>
      <c r="D26" s="41" t="s">
        <v>181</v>
      </c>
      <c r="E26" s="41" t="s">
        <v>576</v>
      </c>
      <c r="F26" s="82" t="s">
        <v>575</v>
      </c>
      <c r="G26" s="45"/>
      <c r="H26" s="45">
        <v>2</v>
      </c>
      <c r="I26" s="102"/>
      <c r="J26" s="201"/>
      <c r="K26" s="199">
        <f t="shared" si="0"/>
        <v>156</v>
      </c>
    </row>
    <row r="27" spans="1:11" ht="14.5" customHeight="1" thickBot="1" x14ac:dyDescent="0.4">
      <c r="A27" s="128">
        <v>25</v>
      </c>
      <c r="B27" s="365"/>
      <c r="C27" s="60" t="s">
        <v>444</v>
      </c>
      <c r="D27" s="37" t="s">
        <v>181</v>
      </c>
      <c r="E27" s="37" t="s">
        <v>445</v>
      </c>
      <c r="F27" s="37" t="s">
        <v>446</v>
      </c>
      <c r="G27" s="36">
        <v>2</v>
      </c>
      <c r="H27" s="41"/>
      <c r="I27" s="101"/>
      <c r="J27" s="48"/>
      <c r="K27" s="199">
        <f t="shared" si="0"/>
        <v>364</v>
      </c>
    </row>
    <row r="28" spans="1:11" ht="14.5" customHeight="1" thickBot="1" x14ac:dyDescent="0.4">
      <c r="A28" s="128">
        <v>26</v>
      </c>
      <c r="B28" s="365"/>
      <c r="C28" s="60" t="s">
        <v>394</v>
      </c>
      <c r="D28" s="37" t="s">
        <v>181</v>
      </c>
      <c r="E28" s="37" t="s">
        <v>395</v>
      </c>
      <c r="F28" s="37" t="s">
        <v>396</v>
      </c>
      <c r="G28" s="36">
        <v>6</v>
      </c>
      <c r="H28" s="36"/>
      <c r="I28" s="145"/>
      <c r="J28" s="58"/>
      <c r="K28" s="199">
        <f t="shared" si="0"/>
        <v>1092</v>
      </c>
    </row>
    <row r="29" spans="1:11" ht="14.5" customHeight="1" thickBot="1" x14ac:dyDescent="0.4">
      <c r="A29" s="128">
        <v>27</v>
      </c>
      <c r="B29" s="365"/>
      <c r="C29" s="60" t="s">
        <v>660</v>
      </c>
      <c r="D29" s="37" t="s">
        <v>181</v>
      </c>
      <c r="E29" s="37" t="s">
        <v>661</v>
      </c>
      <c r="F29" s="37" t="s">
        <v>662</v>
      </c>
      <c r="G29" s="36"/>
      <c r="H29" s="36"/>
      <c r="I29" s="101">
        <v>4</v>
      </c>
      <c r="J29" s="48"/>
      <c r="K29" s="199">
        <f t="shared" si="0"/>
        <v>1000</v>
      </c>
    </row>
    <row r="30" spans="1:11" ht="14.5" customHeight="1" thickBot="1" x14ac:dyDescent="0.4">
      <c r="A30" s="132">
        <v>28</v>
      </c>
      <c r="B30" s="365"/>
      <c r="C30" s="60" t="s">
        <v>474</v>
      </c>
      <c r="D30" s="37" t="s">
        <v>181</v>
      </c>
      <c r="E30" s="37" t="s">
        <v>475</v>
      </c>
      <c r="F30" s="37" t="s">
        <v>476</v>
      </c>
      <c r="G30" s="36">
        <v>1</v>
      </c>
      <c r="H30" s="41"/>
      <c r="I30" s="101"/>
      <c r="J30" s="48"/>
      <c r="K30" s="199">
        <f t="shared" si="0"/>
        <v>182</v>
      </c>
    </row>
    <row r="31" spans="1:11" ht="14.5" customHeight="1" thickBot="1" x14ac:dyDescent="0.4">
      <c r="A31" s="128">
        <v>29</v>
      </c>
      <c r="B31" s="365"/>
      <c r="C31" s="61" t="s">
        <v>453</v>
      </c>
      <c r="D31" s="42" t="s">
        <v>181</v>
      </c>
      <c r="E31" s="42" t="s">
        <v>454</v>
      </c>
      <c r="F31" s="42" t="s">
        <v>455</v>
      </c>
      <c r="G31" s="41">
        <v>1</v>
      </c>
      <c r="H31" s="41">
        <v>2</v>
      </c>
      <c r="I31" s="101"/>
      <c r="J31" s="48"/>
      <c r="K31" s="199">
        <f t="shared" si="0"/>
        <v>338</v>
      </c>
    </row>
    <row r="32" spans="1:11" ht="14.5" customHeight="1" thickBot="1" x14ac:dyDescent="0.4">
      <c r="A32" s="128">
        <v>30</v>
      </c>
      <c r="B32" s="365"/>
      <c r="C32" s="60" t="s">
        <v>477</v>
      </c>
      <c r="D32" s="42" t="s">
        <v>181</v>
      </c>
      <c r="E32" s="37" t="s">
        <v>478</v>
      </c>
      <c r="F32" s="37" t="s">
        <v>479</v>
      </c>
      <c r="G32" s="36">
        <v>1</v>
      </c>
      <c r="H32" s="41"/>
      <c r="I32" s="101"/>
      <c r="J32" s="48"/>
      <c r="K32" s="199">
        <f t="shared" si="0"/>
        <v>182</v>
      </c>
    </row>
    <row r="33" spans="1:12" ht="14.5" customHeight="1" thickBot="1" x14ac:dyDescent="0.4">
      <c r="A33" s="128">
        <v>31</v>
      </c>
      <c r="B33" s="365"/>
      <c r="C33" s="60" t="s">
        <v>657</v>
      </c>
      <c r="D33" s="37" t="s">
        <v>181</v>
      </c>
      <c r="E33" s="37" t="s">
        <v>654</v>
      </c>
      <c r="F33" s="37" t="s">
        <v>655</v>
      </c>
      <c r="G33" s="36"/>
      <c r="H33" s="41"/>
      <c r="I33" s="101">
        <v>9</v>
      </c>
      <c r="J33" s="48"/>
      <c r="K33" s="199">
        <f t="shared" si="0"/>
        <v>2250</v>
      </c>
    </row>
    <row r="34" spans="1:12" ht="14.5" customHeight="1" thickBot="1" x14ac:dyDescent="0.4">
      <c r="A34" s="132">
        <v>32</v>
      </c>
      <c r="B34" s="365"/>
      <c r="C34" s="209" t="s">
        <v>417</v>
      </c>
      <c r="D34" s="210" t="s">
        <v>181</v>
      </c>
      <c r="E34" s="210" t="s">
        <v>418</v>
      </c>
      <c r="F34" s="210" t="s">
        <v>419</v>
      </c>
      <c r="G34" s="211">
        <v>72</v>
      </c>
      <c r="H34" s="211">
        <f>31+19</f>
        <v>50</v>
      </c>
      <c r="I34" s="212">
        <f>18+1+21</f>
        <v>40</v>
      </c>
      <c r="J34" s="213">
        <v>2</v>
      </c>
      <c r="K34" s="199">
        <f t="shared" si="0"/>
        <v>27004</v>
      </c>
    </row>
    <row r="35" spans="1:12" ht="14.5" customHeight="1" thickBot="1" x14ac:dyDescent="0.4">
      <c r="A35" s="128">
        <v>33</v>
      </c>
      <c r="B35" s="365"/>
      <c r="C35" s="61" t="s">
        <v>423</v>
      </c>
      <c r="D35" s="42" t="s">
        <v>181</v>
      </c>
      <c r="E35" s="42" t="s">
        <v>424</v>
      </c>
      <c r="F35" s="42" t="s">
        <v>425</v>
      </c>
      <c r="G35" s="41">
        <v>2</v>
      </c>
      <c r="H35" s="41">
        <v>5</v>
      </c>
      <c r="I35" s="101">
        <v>1</v>
      </c>
      <c r="J35" s="48"/>
      <c r="K35" s="199">
        <f t="shared" si="0"/>
        <v>1004</v>
      </c>
    </row>
    <row r="36" spans="1:12" ht="14.5" customHeight="1" thickBot="1" x14ac:dyDescent="0.4">
      <c r="A36" s="128">
        <v>34</v>
      </c>
      <c r="B36" s="365"/>
      <c r="C36" s="60" t="s">
        <v>468</v>
      </c>
      <c r="D36" s="37" t="s">
        <v>181</v>
      </c>
      <c r="E36" s="37" t="s">
        <v>469</v>
      </c>
      <c r="F36" s="37" t="s">
        <v>470</v>
      </c>
      <c r="G36" s="36">
        <v>2</v>
      </c>
      <c r="H36" s="41"/>
      <c r="I36" s="101"/>
      <c r="J36" s="48"/>
      <c r="K36" s="199">
        <f t="shared" si="0"/>
        <v>364</v>
      </c>
    </row>
    <row r="37" spans="1:12" s="43" customFormat="1" ht="14.5" customHeight="1" thickBot="1" x14ac:dyDescent="0.4">
      <c r="A37" s="128">
        <v>35</v>
      </c>
      <c r="B37" s="365"/>
      <c r="C37" s="61" t="s">
        <v>432</v>
      </c>
      <c r="D37" s="42" t="s">
        <v>181</v>
      </c>
      <c r="E37" s="42" t="s">
        <v>433</v>
      </c>
      <c r="F37" s="42" t="s">
        <v>434</v>
      </c>
      <c r="G37" s="41">
        <v>2</v>
      </c>
      <c r="H37" s="41"/>
      <c r="I37" s="101"/>
      <c r="J37" s="48"/>
      <c r="K37" s="199">
        <f t="shared" si="0"/>
        <v>364</v>
      </c>
    </row>
    <row r="38" spans="1:12" ht="14.5" customHeight="1" thickBot="1" x14ac:dyDescent="0.4">
      <c r="A38" s="132">
        <v>36</v>
      </c>
      <c r="B38" s="365"/>
      <c r="C38" s="81" t="s">
        <v>578</v>
      </c>
      <c r="D38" s="41" t="s">
        <v>181</v>
      </c>
      <c r="E38" s="41" t="s">
        <v>579</v>
      </c>
      <c r="F38" s="82" t="s">
        <v>580</v>
      </c>
      <c r="G38" s="45"/>
      <c r="H38" s="45">
        <v>3</v>
      </c>
      <c r="I38" s="102"/>
      <c r="J38" s="201"/>
      <c r="K38" s="199">
        <f t="shared" si="0"/>
        <v>234</v>
      </c>
    </row>
    <row r="39" spans="1:12" ht="14.5" customHeight="1" thickBot="1" x14ac:dyDescent="0.4">
      <c r="A39" s="128">
        <v>37</v>
      </c>
      <c r="B39" s="365"/>
      <c r="C39" s="61" t="s">
        <v>435</v>
      </c>
      <c r="D39" s="42" t="s">
        <v>181</v>
      </c>
      <c r="E39" s="42" t="s">
        <v>436</v>
      </c>
      <c r="F39" s="42" t="s">
        <v>437</v>
      </c>
      <c r="G39" s="41">
        <f>15+4</f>
        <v>19</v>
      </c>
      <c r="H39" s="41">
        <v>7</v>
      </c>
      <c r="I39" s="101"/>
      <c r="J39" s="48"/>
      <c r="K39" s="199">
        <f t="shared" si="0"/>
        <v>4004</v>
      </c>
    </row>
    <row r="40" spans="1:12" ht="14.5" customHeight="1" thickBot="1" x14ac:dyDescent="0.4">
      <c r="A40" s="132">
        <v>38</v>
      </c>
      <c r="B40" s="365"/>
      <c r="C40" s="61" t="s">
        <v>438</v>
      </c>
      <c r="D40" s="42" t="s">
        <v>181</v>
      </c>
      <c r="E40" s="42" t="s">
        <v>439</v>
      </c>
      <c r="F40" s="42" t="s">
        <v>440</v>
      </c>
      <c r="G40" s="41">
        <v>7</v>
      </c>
      <c r="H40" s="41">
        <v>3</v>
      </c>
      <c r="I40" s="101"/>
      <c r="J40" s="48"/>
      <c r="K40" s="199">
        <f t="shared" si="0"/>
        <v>1508</v>
      </c>
    </row>
    <row r="41" spans="1:12" s="43" customFormat="1" ht="14.5" customHeight="1" thickBot="1" x14ac:dyDescent="0.4">
      <c r="A41" s="132">
        <v>39</v>
      </c>
      <c r="B41" s="365"/>
      <c r="C41" s="81" t="s">
        <v>569</v>
      </c>
      <c r="D41" s="41" t="s">
        <v>181</v>
      </c>
      <c r="E41" s="41" t="s">
        <v>570</v>
      </c>
      <c r="F41" s="82" t="s">
        <v>571</v>
      </c>
      <c r="G41" s="45">
        <v>2</v>
      </c>
      <c r="H41" s="45">
        <v>2</v>
      </c>
      <c r="I41" s="102">
        <v>1</v>
      </c>
      <c r="J41" s="201"/>
      <c r="K41" s="199">
        <f t="shared" si="0"/>
        <v>770</v>
      </c>
    </row>
    <row r="42" spans="1:12" ht="14.5" customHeight="1" thickBot="1" x14ac:dyDescent="0.4">
      <c r="A42" s="128">
        <v>40</v>
      </c>
      <c r="B42" s="365"/>
      <c r="C42" s="60" t="s">
        <v>441</v>
      </c>
      <c r="D42" s="37" t="s">
        <v>181</v>
      </c>
      <c r="E42" s="37" t="s">
        <v>442</v>
      </c>
      <c r="F42" s="37" t="s">
        <v>443</v>
      </c>
      <c r="G42" s="36">
        <v>2</v>
      </c>
      <c r="H42" s="41"/>
      <c r="I42" s="101"/>
      <c r="J42" s="48"/>
      <c r="K42" s="199">
        <f t="shared" si="0"/>
        <v>364</v>
      </c>
    </row>
    <row r="43" spans="1:12" ht="14.5" customHeight="1" thickBot="1" x14ac:dyDescent="0.4">
      <c r="A43" s="128">
        <v>41</v>
      </c>
      <c r="B43" s="365"/>
      <c r="C43" s="60" t="s">
        <v>450</v>
      </c>
      <c r="D43" s="37" t="s">
        <v>181</v>
      </c>
      <c r="E43" s="37" t="s">
        <v>451</v>
      </c>
      <c r="F43" s="37" t="s">
        <v>452</v>
      </c>
      <c r="G43" s="36">
        <v>1</v>
      </c>
      <c r="H43" s="41"/>
      <c r="I43" s="101"/>
      <c r="J43" s="48"/>
      <c r="K43" s="199">
        <f t="shared" si="0"/>
        <v>182</v>
      </c>
    </row>
    <row r="44" spans="1:12" s="43" customFormat="1" ht="14.5" customHeight="1" thickBot="1" x14ac:dyDescent="0.4">
      <c r="A44" s="128">
        <v>42</v>
      </c>
      <c r="B44" s="365"/>
      <c r="C44" s="81" t="s">
        <v>201</v>
      </c>
      <c r="D44" s="41" t="s">
        <v>181</v>
      </c>
      <c r="E44" s="41" t="s">
        <v>572</v>
      </c>
      <c r="F44" s="82" t="s">
        <v>573</v>
      </c>
      <c r="G44" s="45">
        <f>3+6</f>
        <v>9</v>
      </c>
      <c r="H44" s="45">
        <f>3+3</f>
        <v>6</v>
      </c>
      <c r="I44" s="102">
        <v>1</v>
      </c>
      <c r="J44" s="201"/>
      <c r="K44" s="199">
        <f t="shared" si="0"/>
        <v>2356</v>
      </c>
      <c r="L44" s="75"/>
    </row>
    <row r="45" spans="1:12" ht="14.5" customHeight="1" thickBot="1" x14ac:dyDescent="0.4">
      <c r="A45" s="132">
        <v>43</v>
      </c>
      <c r="B45" s="365"/>
      <c r="C45" s="61" t="s">
        <v>412</v>
      </c>
      <c r="D45" s="42" t="s">
        <v>181</v>
      </c>
      <c r="E45" s="42" t="s">
        <v>413</v>
      </c>
      <c r="F45" s="42" t="s">
        <v>577</v>
      </c>
      <c r="G45" s="41">
        <v>1</v>
      </c>
      <c r="H45" s="41">
        <v>1</v>
      </c>
      <c r="I45" s="101"/>
      <c r="J45" s="48"/>
      <c r="K45" s="199">
        <f t="shared" si="0"/>
        <v>260</v>
      </c>
      <c r="L45" t="s">
        <v>588</v>
      </c>
    </row>
    <row r="46" spans="1:12" ht="14.5" customHeight="1" thickBot="1" x14ac:dyDescent="0.4">
      <c r="A46" s="128">
        <v>44</v>
      </c>
      <c r="B46" s="365"/>
      <c r="C46" s="61" t="s">
        <v>456</v>
      </c>
      <c r="D46" s="42" t="s">
        <v>181</v>
      </c>
      <c r="E46" s="42" t="s">
        <v>457</v>
      </c>
      <c r="F46" s="42" t="s">
        <v>458</v>
      </c>
      <c r="G46" s="41">
        <v>1</v>
      </c>
      <c r="H46" s="41">
        <v>1</v>
      </c>
      <c r="I46" s="101"/>
      <c r="J46" s="48"/>
      <c r="K46" s="199">
        <f t="shared" si="0"/>
        <v>260</v>
      </c>
    </row>
    <row r="47" spans="1:12" s="43" customFormat="1" ht="14.5" customHeight="1" thickBot="1" x14ac:dyDescent="0.4">
      <c r="A47" s="128">
        <v>45</v>
      </c>
      <c r="B47" s="365"/>
      <c r="C47" s="61" t="s">
        <v>480</v>
      </c>
      <c r="D47" s="42" t="s">
        <v>181</v>
      </c>
      <c r="E47" s="42" t="s">
        <v>481</v>
      </c>
      <c r="F47" s="42" t="s">
        <v>482</v>
      </c>
      <c r="G47" s="41">
        <v>6</v>
      </c>
      <c r="H47" s="41">
        <v>3</v>
      </c>
      <c r="I47" s="101"/>
      <c r="J47" s="48"/>
      <c r="K47" s="199">
        <f t="shared" si="0"/>
        <v>1326</v>
      </c>
    </row>
    <row r="48" spans="1:12" ht="14.5" customHeight="1" thickBot="1" x14ac:dyDescent="0.4">
      <c r="A48" s="128">
        <v>46</v>
      </c>
      <c r="B48" s="365"/>
      <c r="C48" s="61" t="s">
        <v>459</v>
      </c>
      <c r="D48" s="42" t="s">
        <v>181</v>
      </c>
      <c r="E48" s="42" t="s">
        <v>460</v>
      </c>
      <c r="F48" s="42" t="s">
        <v>461</v>
      </c>
      <c r="G48" s="41">
        <v>3</v>
      </c>
      <c r="H48" s="41">
        <v>4</v>
      </c>
      <c r="I48" s="101">
        <v>9</v>
      </c>
      <c r="J48" s="48"/>
      <c r="K48" s="199">
        <f t="shared" si="0"/>
        <v>3108</v>
      </c>
    </row>
    <row r="49" spans="1:11" ht="14.5" customHeight="1" thickBot="1" x14ac:dyDescent="0.4">
      <c r="A49" s="132">
        <v>47</v>
      </c>
      <c r="B49" s="365"/>
      <c r="C49" s="60" t="s">
        <v>400</v>
      </c>
      <c r="D49" s="37" t="s">
        <v>181</v>
      </c>
      <c r="E49" s="37" t="s">
        <v>401</v>
      </c>
      <c r="F49" s="37" t="s">
        <v>402</v>
      </c>
      <c r="G49" s="36">
        <v>1</v>
      </c>
      <c r="H49" s="36"/>
      <c r="I49" s="145"/>
      <c r="J49" s="58"/>
      <c r="K49" s="199">
        <f t="shared" si="0"/>
        <v>182</v>
      </c>
    </row>
    <row r="50" spans="1:11" ht="14.5" customHeight="1" thickBot="1" x14ac:dyDescent="0.4">
      <c r="A50" s="128">
        <v>48</v>
      </c>
      <c r="B50" s="365"/>
      <c r="C50" s="60" t="s">
        <v>489</v>
      </c>
      <c r="D50" s="37" t="s">
        <v>181</v>
      </c>
      <c r="E50" s="37" t="s">
        <v>490</v>
      </c>
      <c r="F50" s="37" t="s">
        <v>491</v>
      </c>
      <c r="G50" s="36">
        <v>1</v>
      </c>
      <c r="H50" s="41"/>
      <c r="I50" s="101"/>
      <c r="J50" s="48"/>
      <c r="K50" s="199">
        <f t="shared" si="0"/>
        <v>182</v>
      </c>
    </row>
    <row r="51" spans="1:11" ht="14.5" customHeight="1" thickBot="1" x14ac:dyDescent="0.4">
      <c r="A51" s="128">
        <v>49</v>
      </c>
      <c r="B51" s="365"/>
      <c r="C51" s="60" t="s">
        <v>465</v>
      </c>
      <c r="D51" s="37" t="s">
        <v>181</v>
      </c>
      <c r="E51" s="37" t="s">
        <v>466</v>
      </c>
      <c r="F51" s="37" t="s">
        <v>467</v>
      </c>
      <c r="G51" s="36">
        <v>1</v>
      </c>
      <c r="H51" s="41"/>
      <c r="I51" s="101"/>
      <c r="J51" s="48"/>
      <c r="K51" s="199">
        <f t="shared" si="0"/>
        <v>182</v>
      </c>
    </row>
    <row r="52" spans="1:11" ht="14.5" customHeight="1" thickBot="1" x14ac:dyDescent="0.4">
      <c r="A52" s="128">
        <v>50</v>
      </c>
      <c r="B52" s="365"/>
      <c r="C52" s="61" t="s">
        <v>414</v>
      </c>
      <c r="D52" s="42" t="s">
        <v>181</v>
      </c>
      <c r="E52" s="42" t="s">
        <v>415</v>
      </c>
      <c r="F52" s="42" t="s">
        <v>416</v>
      </c>
      <c r="G52" s="41">
        <v>10</v>
      </c>
      <c r="H52" s="41">
        <v>4</v>
      </c>
      <c r="I52" s="101">
        <v>6</v>
      </c>
      <c r="J52" s="48"/>
      <c r="K52" s="199">
        <f t="shared" si="0"/>
        <v>3632</v>
      </c>
    </row>
    <row r="53" spans="1:11" ht="14.5" customHeight="1" thickBot="1" x14ac:dyDescent="0.4">
      <c r="A53" s="132">
        <v>51</v>
      </c>
      <c r="B53" s="365"/>
      <c r="C53" s="61" t="s">
        <v>420</v>
      </c>
      <c r="D53" s="42" t="s">
        <v>181</v>
      </c>
      <c r="E53" s="42" t="s">
        <v>421</v>
      </c>
      <c r="F53" s="42" t="s">
        <v>422</v>
      </c>
      <c r="G53" s="41">
        <v>7</v>
      </c>
      <c r="H53" s="41">
        <v>16</v>
      </c>
      <c r="I53" s="101"/>
      <c r="J53" s="48"/>
      <c r="K53" s="199">
        <f t="shared" si="0"/>
        <v>2522</v>
      </c>
    </row>
    <row r="54" spans="1:11" ht="14.5" customHeight="1" thickBot="1" x14ac:dyDescent="0.4">
      <c r="A54" s="128">
        <v>52</v>
      </c>
      <c r="B54" s="365"/>
      <c r="C54" s="60" t="s">
        <v>429</v>
      </c>
      <c r="D54" s="37" t="s">
        <v>181</v>
      </c>
      <c r="E54" s="37" t="s">
        <v>430</v>
      </c>
      <c r="F54" s="37" t="s">
        <v>431</v>
      </c>
      <c r="G54" s="36">
        <v>7</v>
      </c>
      <c r="H54" s="36"/>
      <c r="I54" s="145"/>
      <c r="J54" s="58"/>
      <c r="K54" s="199">
        <f t="shared" si="0"/>
        <v>1274</v>
      </c>
    </row>
    <row r="55" spans="1:11" ht="14.5" customHeight="1" thickBot="1" x14ac:dyDescent="0.4">
      <c r="A55" s="128">
        <v>53</v>
      </c>
      <c r="B55" s="365"/>
      <c r="C55" s="61" t="s">
        <v>382</v>
      </c>
      <c r="D55" s="42" t="s">
        <v>181</v>
      </c>
      <c r="E55" s="42" t="s">
        <v>383</v>
      </c>
      <c r="F55" s="42" t="s">
        <v>384</v>
      </c>
      <c r="G55" s="41">
        <v>1</v>
      </c>
      <c r="H55" s="41">
        <v>2</v>
      </c>
      <c r="I55" s="101"/>
      <c r="J55" s="48"/>
      <c r="K55" s="199">
        <f t="shared" si="0"/>
        <v>338</v>
      </c>
    </row>
    <row r="56" spans="1:11" ht="14.5" customHeight="1" thickBot="1" x14ac:dyDescent="0.4">
      <c r="A56" s="128">
        <v>54</v>
      </c>
      <c r="B56" s="365"/>
      <c r="C56" s="60" t="s">
        <v>197</v>
      </c>
      <c r="D56" s="37" t="s">
        <v>198</v>
      </c>
      <c r="E56" s="37" t="s">
        <v>199</v>
      </c>
      <c r="F56" s="37" t="s">
        <v>200</v>
      </c>
      <c r="G56" s="36">
        <v>1</v>
      </c>
      <c r="H56" s="36"/>
      <c r="I56" s="145"/>
      <c r="J56" s="58"/>
      <c r="K56" s="199">
        <f t="shared" si="0"/>
        <v>182</v>
      </c>
    </row>
    <row r="57" spans="1:11" ht="14.5" customHeight="1" thickBot="1" x14ac:dyDescent="0.4">
      <c r="A57" s="132">
        <v>55</v>
      </c>
      <c r="B57" s="365"/>
      <c r="C57" s="61" t="s">
        <v>403</v>
      </c>
      <c r="D57" s="42" t="s">
        <v>181</v>
      </c>
      <c r="E57" s="42" t="s">
        <v>404</v>
      </c>
      <c r="F57" s="42" t="s">
        <v>405</v>
      </c>
      <c r="G57" s="41">
        <v>8</v>
      </c>
      <c r="H57" s="41">
        <v>3</v>
      </c>
      <c r="I57" s="101"/>
      <c r="J57" s="48"/>
      <c r="K57" s="199">
        <f t="shared" si="0"/>
        <v>1690</v>
      </c>
    </row>
    <row r="58" spans="1:11" ht="14.5" customHeight="1" thickBot="1" x14ac:dyDescent="0.4">
      <c r="A58" s="128">
        <v>56</v>
      </c>
      <c r="B58" s="365"/>
      <c r="C58" s="61" t="s">
        <v>388</v>
      </c>
      <c r="D58" s="42" t="s">
        <v>181</v>
      </c>
      <c r="E58" s="42" t="s">
        <v>389</v>
      </c>
      <c r="F58" s="42" t="s">
        <v>390</v>
      </c>
      <c r="G58" s="41">
        <v>2</v>
      </c>
      <c r="H58" s="41">
        <v>2</v>
      </c>
      <c r="I58" s="101">
        <v>1</v>
      </c>
      <c r="J58" s="48"/>
      <c r="K58" s="199">
        <f t="shared" si="0"/>
        <v>770</v>
      </c>
    </row>
    <row r="59" spans="1:11" ht="14.5" customHeight="1" thickBot="1" x14ac:dyDescent="0.4">
      <c r="A59" s="132">
        <v>57</v>
      </c>
      <c r="B59" s="365"/>
      <c r="C59" s="60" t="s">
        <v>406</v>
      </c>
      <c r="D59" s="37" t="s">
        <v>181</v>
      </c>
      <c r="E59" s="37" t="s">
        <v>407</v>
      </c>
      <c r="F59" s="37" t="s">
        <v>408</v>
      </c>
      <c r="G59" s="36">
        <v>1</v>
      </c>
      <c r="H59" s="36"/>
      <c r="I59" s="145"/>
      <c r="J59" s="58"/>
      <c r="K59" s="199">
        <f t="shared" si="0"/>
        <v>182</v>
      </c>
    </row>
    <row r="60" spans="1:11" ht="14.5" customHeight="1" thickBot="1" x14ac:dyDescent="0.4">
      <c r="A60" s="132">
        <v>58</v>
      </c>
      <c r="B60" s="365"/>
      <c r="C60" s="61" t="s">
        <v>447</v>
      </c>
      <c r="D60" s="42" t="s">
        <v>181</v>
      </c>
      <c r="E60" s="42" t="s">
        <v>448</v>
      </c>
      <c r="F60" s="42" t="s">
        <v>449</v>
      </c>
      <c r="G60" s="41">
        <v>1</v>
      </c>
      <c r="H60" s="41">
        <v>3</v>
      </c>
      <c r="I60" s="101"/>
      <c r="J60" s="48"/>
      <c r="K60" s="199">
        <f t="shared" si="0"/>
        <v>416</v>
      </c>
    </row>
    <row r="61" spans="1:11" ht="15" customHeight="1" thickBot="1" x14ac:dyDescent="0.4">
      <c r="A61" s="128">
        <v>59</v>
      </c>
      <c r="B61" s="365"/>
      <c r="C61" s="122" t="s">
        <v>185</v>
      </c>
      <c r="D61" s="123" t="s">
        <v>181</v>
      </c>
      <c r="E61" s="123" t="s">
        <v>186</v>
      </c>
      <c r="F61" s="123" t="s">
        <v>187</v>
      </c>
      <c r="G61" s="124">
        <v>1</v>
      </c>
      <c r="H61" s="124"/>
      <c r="I61" s="147"/>
      <c r="J61" s="124"/>
      <c r="K61" s="199">
        <f t="shared" si="0"/>
        <v>182</v>
      </c>
    </row>
    <row r="62" spans="1:11" ht="14.5" customHeight="1" thickBot="1" x14ac:dyDescent="0.4">
      <c r="A62" s="128">
        <v>60</v>
      </c>
      <c r="B62" s="361" t="s">
        <v>596</v>
      </c>
      <c r="C62" s="76" t="s">
        <v>330</v>
      </c>
      <c r="D62" s="65" t="s">
        <v>327</v>
      </c>
      <c r="E62" s="65" t="s">
        <v>331</v>
      </c>
      <c r="F62" s="65" t="s">
        <v>332</v>
      </c>
      <c r="G62" s="66">
        <v>1</v>
      </c>
      <c r="H62" s="66">
        <v>2</v>
      </c>
      <c r="I62" s="119"/>
      <c r="J62" s="66"/>
      <c r="K62" s="199">
        <f t="shared" si="0"/>
        <v>338</v>
      </c>
    </row>
    <row r="63" spans="1:11" ht="14.5" customHeight="1" thickBot="1" x14ac:dyDescent="0.4">
      <c r="A63" s="128">
        <v>61</v>
      </c>
      <c r="B63" s="362"/>
      <c r="C63" s="60" t="s">
        <v>336</v>
      </c>
      <c r="D63" s="37" t="s">
        <v>327</v>
      </c>
      <c r="E63" s="37" t="s">
        <v>337</v>
      </c>
      <c r="F63" s="37" t="s">
        <v>338</v>
      </c>
      <c r="G63" s="36">
        <v>5</v>
      </c>
      <c r="H63" s="36"/>
      <c r="I63" s="145"/>
      <c r="J63" s="58"/>
      <c r="K63" s="199">
        <f t="shared" si="0"/>
        <v>910</v>
      </c>
    </row>
    <row r="64" spans="1:11" ht="14.5" customHeight="1" thickBot="1" x14ac:dyDescent="0.4">
      <c r="A64" s="132">
        <v>62</v>
      </c>
      <c r="B64" s="362"/>
      <c r="C64" s="74" t="s">
        <v>339</v>
      </c>
      <c r="D64" s="55" t="s">
        <v>327</v>
      </c>
      <c r="E64" s="55" t="s">
        <v>340</v>
      </c>
      <c r="F64" s="55" t="s">
        <v>341</v>
      </c>
      <c r="G64" s="56">
        <v>4</v>
      </c>
      <c r="H64" s="56">
        <v>2</v>
      </c>
      <c r="I64" s="101"/>
      <c r="J64" s="48"/>
      <c r="K64" s="199">
        <f t="shared" si="0"/>
        <v>884</v>
      </c>
    </row>
    <row r="65" spans="1:12" ht="14.5" customHeight="1" thickBot="1" x14ac:dyDescent="0.4">
      <c r="A65" s="128">
        <v>63</v>
      </c>
      <c r="B65" s="362"/>
      <c r="C65" s="61" t="s">
        <v>326</v>
      </c>
      <c r="D65" s="42" t="s">
        <v>327</v>
      </c>
      <c r="E65" s="42" t="s">
        <v>328</v>
      </c>
      <c r="F65" s="42" t="s">
        <v>329</v>
      </c>
      <c r="G65" s="41">
        <v>5</v>
      </c>
      <c r="H65" s="41">
        <v>3</v>
      </c>
      <c r="I65" s="101"/>
      <c r="J65" s="48"/>
      <c r="K65" s="199">
        <f t="shared" si="0"/>
        <v>1144</v>
      </c>
    </row>
    <row r="66" spans="1:12" ht="15" customHeight="1" thickBot="1" x14ac:dyDescent="0.4">
      <c r="A66" s="128">
        <v>64</v>
      </c>
      <c r="B66" s="363"/>
      <c r="C66" s="77" t="s">
        <v>333</v>
      </c>
      <c r="D66" s="78" t="s">
        <v>327</v>
      </c>
      <c r="E66" s="78" t="s">
        <v>334</v>
      </c>
      <c r="F66" s="78" t="s">
        <v>335</v>
      </c>
      <c r="G66" s="79">
        <v>4</v>
      </c>
      <c r="H66" s="79">
        <v>5</v>
      </c>
      <c r="I66" s="148"/>
      <c r="J66" s="202"/>
      <c r="K66" s="199">
        <f t="shared" si="0"/>
        <v>1118</v>
      </c>
    </row>
    <row r="67" spans="1:12" ht="14.5" customHeight="1" thickBot="1" x14ac:dyDescent="0.4">
      <c r="A67" s="128">
        <v>65</v>
      </c>
      <c r="B67" s="366" t="s">
        <v>597</v>
      </c>
      <c r="C67" s="76" t="s">
        <v>227</v>
      </c>
      <c r="D67" s="65" t="s">
        <v>181</v>
      </c>
      <c r="E67" s="65" t="s">
        <v>228</v>
      </c>
      <c r="F67" s="65" t="s">
        <v>229</v>
      </c>
      <c r="G67" s="66">
        <v>3</v>
      </c>
      <c r="H67" s="66">
        <v>4</v>
      </c>
      <c r="I67" s="119">
        <v>1</v>
      </c>
      <c r="J67" s="66"/>
      <c r="K67" s="199">
        <f t="shared" si="0"/>
        <v>1108</v>
      </c>
    </row>
    <row r="68" spans="1:12" ht="14.5" customHeight="1" thickBot="1" x14ac:dyDescent="0.4">
      <c r="A68" s="132">
        <v>66</v>
      </c>
      <c r="B68" s="367"/>
      <c r="C68" s="61" t="s">
        <v>224</v>
      </c>
      <c r="D68" s="42" t="s">
        <v>181</v>
      </c>
      <c r="E68" s="42" t="s">
        <v>225</v>
      </c>
      <c r="F68" s="42" t="s">
        <v>226</v>
      </c>
      <c r="G68" s="41">
        <v>7</v>
      </c>
      <c r="H68" s="41">
        <v>3</v>
      </c>
      <c r="I68" s="101"/>
      <c r="J68" s="48"/>
      <c r="K68" s="199">
        <f t="shared" ref="K68:K131" si="1">(G68*182)+(H68*78)+(I68*250)+(J68*0)</f>
        <v>1508</v>
      </c>
      <c r="L68" s="43"/>
    </row>
    <row r="69" spans="1:12" ht="14.5" customHeight="1" thickBot="1" x14ac:dyDescent="0.4">
      <c r="A69" s="128">
        <v>67</v>
      </c>
      <c r="B69" s="367"/>
      <c r="C69" s="61" t="s">
        <v>233</v>
      </c>
      <c r="D69" s="42" t="s">
        <v>181</v>
      </c>
      <c r="E69" s="42" t="s">
        <v>234</v>
      </c>
      <c r="F69" s="42" t="s">
        <v>235</v>
      </c>
      <c r="G69" s="41">
        <v>19</v>
      </c>
      <c r="H69" s="41">
        <v>7</v>
      </c>
      <c r="I69" s="149"/>
      <c r="J69" s="202"/>
      <c r="K69" s="199">
        <f t="shared" si="1"/>
        <v>4004</v>
      </c>
    </row>
    <row r="70" spans="1:12" s="43" customFormat="1" ht="14.5" customHeight="1" thickBot="1" x14ac:dyDescent="0.4">
      <c r="A70" s="128">
        <v>68</v>
      </c>
      <c r="B70" s="367"/>
      <c r="C70" s="61" t="s">
        <v>236</v>
      </c>
      <c r="D70" s="42" t="s">
        <v>181</v>
      </c>
      <c r="E70" s="42" t="s">
        <v>237</v>
      </c>
      <c r="F70" s="42" t="s">
        <v>238</v>
      </c>
      <c r="G70" s="41">
        <v>4</v>
      </c>
      <c r="H70" s="101">
        <v>2</v>
      </c>
      <c r="I70" s="41">
        <v>2</v>
      </c>
      <c r="J70" s="41"/>
      <c r="K70" s="199">
        <f t="shared" si="1"/>
        <v>1384</v>
      </c>
    </row>
    <row r="71" spans="1:12" ht="14.5" customHeight="1" thickBot="1" x14ac:dyDescent="0.4">
      <c r="A71" s="128">
        <v>69</v>
      </c>
      <c r="B71" s="367"/>
      <c r="C71" s="60" t="s">
        <v>230</v>
      </c>
      <c r="D71" s="37" t="s">
        <v>181</v>
      </c>
      <c r="E71" s="37" t="s">
        <v>231</v>
      </c>
      <c r="F71" s="37" t="s">
        <v>232</v>
      </c>
      <c r="G71" s="36">
        <v>1</v>
      </c>
      <c r="H71" s="36"/>
      <c r="I71" s="118"/>
      <c r="J71" s="58"/>
      <c r="K71" s="199">
        <f t="shared" si="1"/>
        <v>182</v>
      </c>
    </row>
    <row r="72" spans="1:12" ht="14.5" customHeight="1" thickBot="1" x14ac:dyDescent="0.4">
      <c r="A72" s="132">
        <v>70</v>
      </c>
      <c r="B72" s="367"/>
      <c r="C72" s="60" t="s">
        <v>298</v>
      </c>
      <c r="D72" s="37" t="s">
        <v>211</v>
      </c>
      <c r="E72" s="37" t="s">
        <v>299</v>
      </c>
      <c r="F72" s="37" t="s">
        <v>300</v>
      </c>
      <c r="G72" s="36">
        <v>13</v>
      </c>
      <c r="H72" s="36"/>
      <c r="I72" s="145"/>
      <c r="J72" s="58"/>
      <c r="K72" s="199">
        <f t="shared" si="1"/>
        <v>2366</v>
      </c>
    </row>
    <row r="73" spans="1:12" ht="14.5" customHeight="1" thickBot="1" x14ac:dyDescent="0.4">
      <c r="A73" s="128">
        <v>71</v>
      </c>
      <c r="B73" s="367"/>
      <c r="C73" s="61" t="s">
        <v>239</v>
      </c>
      <c r="D73" s="42" t="s">
        <v>181</v>
      </c>
      <c r="E73" s="42" t="s">
        <v>240</v>
      </c>
      <c r="F73" s="42" t="s">
        <v>241</v>
      </c>
      <c r="G73" s="41">
        <v>1</v>
      </c>
      <c r="H73" s="41">
        <v>1</v>
      </c>
      <c r="I73" s="101"/>
      <c r="J73" s="48"/>
      <c r="K73" s="199">
        <f t="shared" si="1"/>
        <v>260</v>
      </c>
      <c r="L73" s="92"/>
    </row>
    <row r="74" spans="1:12" ht="14.5" customHeight="1" thickBot="1" x14ac:dyDescent="0.4">
      <c r="A74" s="128">
        <v>72</v>
      </c>
      <c r="B74" s="367"/>
      <c r="C74" s="71" t="s">
        <v>308</v>
      </c>
      <c r="D74" s="72" t="s">
        <v>211</v>
      </c>
      <c r="E74" s="72" t="s">
        <v>309</v>
      </c>
      <c r="F74" s="72" t="s">
        <v>310</v>
      </c>
      <c r="G74" s="73">
        <v>7</v>
      </c>
      <c r="H74" s="73"/>
      <c r="I74" s="147"/>
      <c r="J74" s="124"/>
      <c r="K74" s="199">
        <f t="shared" si="1"/>
        <v>1274</v>
      </c>
    </row>
    <row r="75" spans="1:12" ht="14.5" customHeight="1" thickBot="1" x14ac:dyDescent="0.4">
      <c r="A75" s="128">
        <v>73</v>
      </c>
      <c r="B75" s="367"/>
      <c r="C75" s="60" t="s">
        <v>305</v>
      </c>
      <c r="D75" s="37" t="s">
        <v>302</v>
      </c>
      <c r="E75" s="37" t="s">
        <v>306</v>
      </c>
      <c r="F75" s="37" t="s">
        <v>307</v>
      </c>
      <c r="G75" s="36">
        <v>1</v>
      </c>
      <c r="H75" s="36"/>
      <c r="I75" s="145"/>
      <c r="J75" s="58"/>
      <c r="K75" s="199">
        <f t="shared" si="1"/>
        <v>182</v>
      </c>
    </row>
    <row r="76" spans="1:12" ht="14.5" customHeight="1" thickBot="1" x14ac:dyDescent="0.4">
      <c r="A76" s="132">
        <v>74</v>
      </c>
      <c r="B76" s="367"/>
      <c r="C76" s="70" t="s">
        <v>242</v>
      </c>
      <c r="D76" s="49" t="s">
        <v>181</v>
      </c>
      <c r="E76" s="49" t="s">
        <v>243</v>
      </c>
      <c r="F76" s="49" t="s">
        <v>244</v>
      </c>
      <c r="G76" s="48">
        <v>4</v>
      </c>
      <c r="H76" s="48"/>
      <c r="I76" s="117"/>
      <c r="J76" s="48"/>
      <c r="K76" s="199">
        <f t="shared" si="1"/>
        <v>728</v>
      </c>
    </row>
    <row r="77" spans="1:12" s="43" customFormat="1" ht="14.5" customHeight="1" thickBot="1" x14ac:dyDescent="0.4">
      <c r="A77" s="128">
        <v>75</v>
      </c>
      <c r="B77" s="367"/>
      <c r="C77" s="61" t="s">
        <v>311</v>
      </c>
      <c r="D77" s="42" t="s">
        <v>181</v>
      </c>
      <c r="E77" s="42" t="s">
        <v>312</v>
      </c>
      <c r="F77" s="42" t="s">
        <v>313</v>
      </c>
      <c r="G77" s="41">
        <v>9</v>
      </c>
      <c r="H77" s="41">
        <v>5</v>
      </c>
      <c r="I77" s="101"/>
      <c r="J77" s="48"/>
      <c r="K77" s="199">
        <f t="shared" si="1"/>
        <v>2028</v>
      </c>
    </row>
    <row r="78" spans="1:12" ht="14.5" customHeight="1" thickBot="1" x14ac:dyDescent="0.4">
      <c r="A78" s="132">
        <v>76</v>
      </c>
      <c r="B78" s="367"/>
      <c r="C78" s="74" t="s">
        <v>301</v>
      </c>
      <c r="D78" s="55" t="s">
        <v>302</v>
      </c>
      <c r="E78" s="55" t="s">
        <v>303</v>
      </c>
      <c r="F78" s="55" t="s">
        <v>304</v>
      </c>
      <c r="G78" s="56">
        <v>1</v>
      </c>
      <c r="H78" s="56"/>
      <c r="I78" s="101"/>
      <c r="J78" s="48"/>
      <c r="K78" s="199">
        <f t="shared" si="1"/>
        <v>182</v>
      </c>
    </row>
    <row r="79" spans="1:12" ht="14.5" customHeight="1" thickBot="1" x14ac:dyDescent="0.4">
      <c r="A79" s="132">
        <v>77</v>
      </c>
      <c r="B79" s="367"/>
      <c r="C79" s="74" t="s">
        <v>297</v>
      </c>
      <c r="D79" s="55" t="s">
        <v>181</v>
      </c>
      <c r="E79" s="55" t="s">
        <v>552</v>
      </c>
      <c r="F79" s="55" t="s">
        <v>619</v>
      </c>
      <c r="G79" s="56">
        <v>2</v>
      </c>
      <c r="H79" s="56">
        <v>2</v>
      </c>
      <c r="I79" s="101">
        <v>1</v>
      </c>
      <c r="J79" s="48"/>
      <c r="K79" s="199">
        <f t="shared" si="1"/>
        <v>770</v>
      </c>
      <c r="L79" s="92"/>
    </row>
    <row r="80" spans="1:12" ht="14.5" customHeight="1" thickBot="1" x14ac:dyDescent="0.4">
      <c r="A80" s="128">
        <v>78</v>
      </c>
      <c r="B80" s="367"/>
      <c r="C80" s="74" t="s">
        <v>615</v>
      </c>
      <c r="D80" s="55" t="s">
        <v>181</v>
      </c>
      <c r="E80" s="55" t="s">
        <v>616</v>
      </c>
      <c r="F80" s="55" t="s">
        <v>617</v>
      </c>
      <c r="G80" s="56"/>
      <c r="H80" s="56"/>
      <c r="I80" s="101">
        <v>1</v>
      </c>
      <c r="J80" s="48"/>
      <c r="K80" s="199">
        <f t="shared" si="1"/>
        <v>250</v>
      </c>
      <c r="L80" s="92"/>
    </row>
    <row r="81" spans="1:13" ht="14.5" customHeight="1" thickBot="1" x14ac:dyDescent="0.4">
      <c r="A81" s="132">
        <v>79</v>
      </c>
      <c r="B81" s="367"/>
      <c r="C81" s="218" t="s">
        <v>725</v>
      </c>
      <c r="D81" s="219" t="s">
        <v>181</v>
      </c>
      <c r="E81" s="219" t="s">
        <v>726</v>
      </c>
      <c r="F81" s="219" t="s">
        <v>727</v>
      </c>
      <c r="G81" s="220"/>
      <c r="H81" s="220"/>
      <c r="I81" s="207"/>
      <c r="J81" s="208">
        <v>2</v>
      </c>
      <c r="K81" s="199">
        <f t="shared" si="1"/>
        <v>0</v>
      </c>
      <c r="L81" s="92"/>
    </row>
    <row r="82" spans="1:13" s="43" customFormat="1" ht="14.5" customHeight="1" thickBot="1" x14ac:dyDescent="0.4">
      <c r="A82" s="132">
        <v>80</v>
      </c>
      <c r="B82" s="367"/>
      <c r="C82" s="61" t="s">
        <v>251</v>
      </c>
      <c r="D82" s="42" t="s">
        <v>181</v>
      </c>
      <c r="E82" s="42" t="s">
        <v>252</v>
      </c>
      <c r="F82" s="42" t="s">
        <v>253</v>
      </c>
      <c r="G82" s="41">
        <v>36</v>
      </c>
      <c r="H82" s="41">
        <v>21</v>
      </c>
      <c r="I82" s="101">
        <v>12</v>
      </c>
      <c r="J82" s="48"/>
      <c r="K82" s="199">
        <f t="shared" si="1"/>
        <v>11190</v>
      </c>
    </row>
    <row r="83" spans="1:13" ht="14.5" customHeight="1" thickBot="1" x14ac:dyDescent="0.4">
      <c r="A83" s="128">
        <v>81</v>
      </c>
      <c r="B83" s="367"/>
      <c r="C83" s="69" t="s">
        <v>286</v>
      </c>
      <c r="D83" s="57" t="s">
        <v>287</v>
      </c>
      <c r="E83" s="57" t="s">
        <v>288</v>
      </c>
      <c r="F83" s="57" t="s">
        <v>289</v>
      </c>
      <c r="G83" s="58">
        <v>1</v>
      </c>
      <c r="H83" s="58"/>
      <c r="I83" s="145"/>
      <c r="J83" s="58"/>
      <c r="K83" s="199">
        <f t="shared" si="1"/>
        <v>182</v>
      </c>
    </row>
    <row r="84" spans="1:13" ht="14.5" customHeight="1" thickBot="1" x14ac:dyDescent="0.4">
      <c r="A84" s="128">
        <v>82</v>
      </c>
      <c r="B84" s="367"/>
      <c r="C84" s="74" t="s">
        <v>248</v>
      </c>
      <c r="D84" s="55" t="s">
        <v>181</v>
      </c>
      <c r="E84" s="55" t="s">
        <v>249</v>
      </c>
      <c r="F84" s="55" t="s">
        <v>250</v>
      </c>
      <c r="G84" s="56">
        <v>1</v>
      </c>
      <c r="H84" s="56"/>
      <c r="I84" s="101"/>
      <c r="J84" s="48"/>
      <c r="K84" s="199">
        <f t="shared" si="1"/>
        <v>182</v>
      </c>
      <c r="L84" s="94"/>
    </row>
    <row r="85" spans="1:13" s="43" customFormat="1" ht="14.5" customHeight="1" thickBot="1" x14ac:dyDescent="0.4">
      <c r="A85" s="128">
        <v>83</v>
      </c>
      <c r="B85" s="367"/>
      <c r="C85" s="61" t="s">
        <v>245</v>
      </c>
      <c r="D85" s="42" t="s">
        <v>181</v>
      </c>
      <c r="E85" s="42" t="s">
        <v>246</v>
      </c>
      <c r="F85" s="42" t="s">
        <v>247</v>
      </c>
      <c r="G85" s="41">
        <v>132</v>
      </c>
      <c r="H85" s="41">
        <v>85</v>
      </c>
      <c r="I85" s="101">
        <v>39</v>
      </c>
      <c r="J85" s="48"/>
      <c r="K85" s="199">
        <f t="shared" si="1"/>
        <v>40404</v>
      </c>
    </row>
    <row r="86" spans="1:13" s="43" customFormat="1" ht="14.5" customHeight="1" thickBot="1" x14ac:dyDescent="0.4">
      <c r="A86" s="132">
        <v>84</v>
      </c>
      <c r="B86" s="367"/>
      <c r="C86" s="221" t="s">
        <v>730</v>
      </c>
      <c r="D86" s="222" t="s">
        <v>181</v>
      </c>
      <c r="E86" s="222" t="s">
        <v>728</v>
      </c>
      <c r="F86" s="222" t="s">
        <v>729</v>
      </c>
      <c r="G86" s="208"/>
      <c r="H86" s="208"/>
      <c r="I86" s="207"/>
      <c r="J86" s="208">
        <v>1</v>
      </c>
      <c r="K86" s="199">
        <f t="shared" si="1"/>
        <v>0</v>
      </c>
    </row>
    <row r="87" spans="1:13" ht="14.5" customHeight="1" thickBot="1" x14ac:dyDescent="0.4">
      <c r="A87" s="132">
        <v>85</v>
      </c>
      <c r="B87" s="367"/>
      <c r="C87" s="70" t="s">
        <v>254</v>
      </c>
      <c r="D87" s="49" t="s">
        <v>181</v>
      </c>
      <c r="E87" s="49" t="s">
        <v>255</v>
      </c>
      <c r="F87" s="49" t="s">
        <v>256</v>
      </c>
      <c r="G87" s="48">
        <v>51</v>
      </c>
      <c r="H87" s="48"/>
      <c r="I87" s="101">
        <v>6</v>
      </c>
      <c r="J87" s="48"/>
      <c r="K87" s="199">
        <f t="shared" si="1"/>
        <v>10782</v>
      </c>
    </row>
    <row r="88" spans="1:13" ht="14.5" customHeight="1" thickBot="1" x14ac:dyDescent="0.4">
      <c r="A88" s="128">
        <v>86</v>
      </c>
      <c r="B88" s="367"/>
      <c r="C88" s="61" t="s">
        <v>314</v>
      </c>
      <c r="D88" s="42" t="s">
        <v>211</v>
      </c>
      <c r="E88" s="42" t="s">
        <v>315</v>
      </c>
      <c r="F88" s="42" t="s">
        <v>316</v>
      </c>
      <c r="G88" s="41">
        <v>7</v>
      </c>
      <c r="H88" s="41">
        <v>3</v>
      </c>
      <c r="I88" s="101"/>
      <c r="J88" s="48"/>
      <c r="K88" s="199">
        <f t="shared" si="1"/>
        <v>1508</v>
      </c>
      <c r="L88" s="92"/>
    </row>
    <row r="89" spans="1:13" s="43" customFormat="1" ht="14.5" customHeight="1" thickBot="1" x14ac:dyDescent="0.4">
      <c r="A89" s="128">
        <v>87</v>
      </c>
      <c r="B89" s="367"/>
      <c r="C89" s="61" t="s">
        <v>290</v>
      </c>
      <c r="D89" s="42" t="s">
        <v>618</v>
      </c>
      <c r="E89" s="42" t="s">
        <v>291</v>
      </c>
      <c r="F89" s="42" t="s">
        <v>292</v>
      </c>
      <c r="G89" s="41">
        <v>45</v>
      </c>
      <c r="H89" s="41">
        <v>27</v>
      </c>
      <c r="I89" s="101">
        <v>3</v>
      </c>
      <c r="J89" s="48"/>
      <c r="K89" s="199">
        <f t="shared" si="1"/>
        <v>11046</v>
      </c>
    </row>
    <row r="90" spans="1:13" ht="15" thickBot="1" x14ac:dyDescent="0.4">
      <c r="A90" s="128">
        <v>88</v>
      </c>
      <c r="B90" s="367"/>
      <c r="C90" s="61" t="s">
        <v>262</v>
      </c>
      <c r="D90" s="42" t="s">
        <v>263</v>
      </c>
      <c r="E90" s="42" t="s">
        <v>264</v>
      </c>
      <c r="F90" s="42" t="s">
        <v>265</v>
      </c>
      <c r="G90" s="41">
        <v>67</v>
      </c>
      <c r="H90" s="41">
        <v>29</v>
      </c>
      <c r="I90" s="101"/>
      <c r="J90" s="48"/>
      <c r="K90" s="199">
        <f t="shared" si="1"/>
        <v>14456</v>
      </c>
    </row>
    <row r="91" spans="1:13" ht="14.5" customHeight="1" thickBot="1" x14ac:dyDescent="0.4">
      <c r="A91" s="132">
        <v>89</v>
      </c>
      <c r="B91" s="367"/>
      <c r="C91" s="60" t="s">
        <v>317</v>
      </c>
      <c r="D91" s="37" t="s">
        <v>302</v>
      </c>
      <c r="E91" s="37" t="s">
        <v>318</v>
      </c>
      <c r="F91" s="37" t="s">
        <v>319</v>
      </c>
      <c r="G91" s="36">
        <v>7</v>
      </c>
      <c r="H91" s="36"/>
      <c r="I91" s="145"/>
      <c r="J91" s="58"/>
      <c r="K91" s="199">
        <f t="shared" si="1"/>
        <v>1274</v>
      </c>
    </row>
    <row r="92" spans="1:13" ht="14.5" customHeight="1" thickBot="1" x14ac:dyDescent="0.4">
      <c r="A92" s="128">
        <v>90</v>
      </c>
      <c r="B92" s="367"/>
      <c r="C92" s="67" t="s">
        <v>257</v>
      </c>
      <c r="D92" s="39" t="s">
        <v>211</v>
      </c>
      <c r="E92" s="39" t="s">
        <v>320</v>
      </c>
      <c r="F92" s="39" t="s">
        <v>321</v>
      </c>
      <c r="G92" s="38">
        <v>4</v>
      </c>
      <c r="H92" s="38"/>
      <c r="I92" s="146"/>
      <c r="J92" s="68"/>
      <c r="K92" s="199">
        <f t="shared" si="1"/>
        <v>728</v>
      </c>
      <c r="L92" s="94"/>
    </row>
    <row r="93" spans="1:13" ht="14.5" customHeight="1" thickBot="1" x14ac:dyDescent="0.4">
      <c r="A93" s="128">
        <v>91</v>
      </c>
      <c r="B93" s="368"/>
      <c r="C93" s="142" t="s">
        <v>257</v>
      </c>
      <c r="D93" s="140" t="s">
        <v>181</v>
      </c>
      <c r="E93" s="140" t="s">
        <v>258</v>
      </c>
      <c r="F93" s="140" t="s">
        <v>259</v>
      </c>
      <c r="G93" s="141">
        <v>12</v>
      </c>
      <c r="H93" s="141"/>
      <c r="I93" s="150">
        <v>10</v>
      </c>
      <c r="J93" s="203"/>
      <c r="K93" s="199">
        <f t="shared" si="1"/>
        <v>4684</v>
      </c>
      <c r="L93" s="94"/>
    </row>
    <row r="94" spans="1:13" s="43" customFormat="1" ht="14.5" customHeight="1" thickBot="1" x14ac:dyDescent="0.4">
      <c r="A94" s="128">
        <v>92</v>
      </c>
      <c r="B94" s="361" t="s">
        <v>609</v>
      </c>
      <c r="C94" s="76" t="s">
        <v>605</v>
      </c>
      <c r="D94" s="66" t="s">
        <v>553</v>
      </c>
      <c r="E94" s="66" t="s">
        <v>554</v>
      </c>
      <c r="F94" s="66" t="s">
        <v>604</v>
      </c>
      <c r="G94" s="97"/>
      <c r="H94" s="97">
        <v>7</v>
      </c>
      <c r="I94" s="120"/>
      <c r="J94" s="97"/>
      <c r="K94" s="199">
        <f t="shared" si="1"/>
        <v>546</v>
      </c>
      <c r="L94" s="94"/>
      <c r="M94" s="80"/>
    </row>
    <row r="95" spans="1:13" ht="14.5" customHeight="1" thickBot="1" x14ac:dyDescent="0.4">
      <c r="A95" s="132">
        <v>93</v>
      </c>
      <c r="B95" s="362"/>
      <c r="C95" s="61" t="s">
        <v>269</v>
      </c>
      <c r="D95" s="42" t="s">
        <v>270</v>
      </c>
      <c r="E95" s="42" t="s">
        <v>271</v>
      </c>
      <c r="F95" s="42" t="s">
        <v>272</v>
      </c>
      <c r="G95" s="41">
        <v>6</v>
      </c>
      <c r="H95" s="41"/>
      <c r="I95" s="101"/>
      <c r="J95" s="48"/>
      <c r="K95" s="199">
        <f t="shared" si="1"/>
        <v>1092</v>
      </c>
    </row>
    <row r="96" spans="1:13" ht="14.5" customHeight="1" thickBot="1" x14ac:dyDescent="0.4">
      <c r="A96" s="128">
        <v>94</v>
      </c>
      <c r="B96" s="362"/>
      <c r="C96" s="61" t="s">
        <v>176</v>
      </c>
      <c r="D96" s="42" t="s">
        <v>177</v>
      </c>
      <c r="E96" s="42" t="s">
        <v>178</v>
      </c>
      <c r="F96" s="42" t="s">
        <v>179</v>
      </c>
      <c r="G96" s="41">
        <v>4</v>
      </c>
      <c r="H96" s="41"/>
      <c r="I96" s="101"/>
      <c r="J96" s="48"/>
      <c r="K96" s="199">
        <f t="shared" si="1"/>
        <v>728</v>
      </c>
    </row>
    <row r="97" spans="1:12" ht="14.5" customHeight="1" thickBot="1" x14ac:dyDescent="0.4">
      <c r="A97" s="128">
        <v>95</v>
      </c>
      <c r="B97" s="362"/>
      <c r="C97" s="74" t="s">
        <v>266</v>
      </c>
      <c r="D97" s="55" t="s">
        <v>177</v>
      </c>
      <c r="E97" s="55" t="s">
        <v>267</v>
      </c>
      <c r="F97" s="55" t="s">
        <v>268</v>
      </c>
      <c r="G97" s="56">
        <v>6</v>
      </c>
      <c r="H97" s="56">
        <v>3</v>
      </c>
      <c r="I97" s="101"/>
      <c r="J97" s="48"/>
      <c r="K97" s="199">
        <f t="shared" si="1"/>
        <v>1326</v>
      </c>
    </row>
    <row r="98" spans="1:12" ht="14.5" customHeight="1" thickBot="1" x14ac:dyDescent="0.4">
      <c r="A98" s="128">
        <v>96</v>
      </c>
      <c r="B98" s="362"/>
      <c r="C98" s="61" t="s">
        <v>273</v>
      </c>
      <c r="D98" s="42" t="s">
        <v>270</v>
      </c>
      <c r="E98" s="42" t="s">
        <v>274</v>
      </c>
      <c r="F98" s="42" t="s">
        <v>275</v>
      </c>
      <c r="G98" s="41">
        <v>2</v>
      </c>
      <c r="H98" s="41"/>
      <c r="I98" s="101"/>
      <c r="J98" s="48"/>
      <c r="K98" s="199">
        <f t="shared" si="1"/>
        <v>364</v>
      </c>
    </row>
    <row r="99" spans="1:12" ht="15" customHeight="1" thickBot="1" x14ac:dyDescent="0.4">
      <c r="A99" s="132">
        <v>97</v>
      </c>
      <c r="B99" s="363"/>
      <c r="C99" s="77" t="s">
        <v>521</v>
      </c>
      <c r="D99" s="78" t="s">
        <v>522</v>
      </c>
      <c r="E99" s="78" t="s">
        <v>523</v>
      </c>
      <c r="F99" s="78" t="s">
        <v>524</v>
      </c>
      <c r="G99" s="79">
        <v>12</v>
      </c>
      <c r="H99" s="79">
        <v>6</v>
      </c>
      <c r="I99" s="148">
        <v>2</v>
      </c>
      <c r="J99" s="202"/>
      <c r="K99" s="199">
        <f t="shared" si="1"/>
        <v>3152</v>
      </c>
    </row>
    <row r="100" spans="1:12" ht="14.5" customHeight="1" thickBot="1" x14ac:dyDescent="0.4">
      <c r="A100" s="128">
        <v>98</v>
      </c>
      <c r="B100" s="369" t="s">
        <v>598</v>
      </c>
      <c r="C100" s="84" t="s">
        <v>560</v>
      </c>
      <c r="D100" s="85" t="s">
        <v>562</v>
      </c>
      <c r="E100" s="86" t="s">
        <v>563</v>
      </c>
      <c r="F100" s="86" t="s">
        <v>561</v>
      </c>
      <c r="G100" s="91"/>
      <c r="H100" s="91">
        <v>1</v>
      </c>
      <c r="I100" s="120"/>
      <c r="J100" s="97"/>
      <c r="K100" s="199">
        <f t="shared" si="1"/>
        <v>78</v>
      </c>
    </row>
    <row r="101" spans="1:12" ht="29.5" thickBot="1" x14ac:dyDescent="0.4">
      <c r="A101" s="128">
        <v>99</v>
      </c>
      <c r="B101" s="370"/>
      <c r="C101" s="60" t="s">
        <v>293</v>
      </c>
      <c r="D101" s="37" t="s">
        <v>294</v>
      </c>
      <c r="E101" s="37" t="s">
        <v>295</v>
      </c>
      <c r="F101" s="37" t="s">
        <v>296</v>
      </c>
      <c r="G101" s="36">
        <v>1</v>
      </c>
      <c r="H101" s="36"/>
      <c r="I101" s="145"/>
      <c r="J101" s="58"/>
      <c r="K101" s="199">
        <f t="shared" si="1"/>
        <v>182</v>
      </c>
    </row>
    <row r="102" spans="1:12" ht="15" thickBot="1" x14ac:dyDescent="0.4">
      <c r="A102" s="128">
        <v>100</v>
      </c>
      <c r="B102" s="370"/>
      <c r="C102" s="70" t="s">
        <v>280</v>
      </c>
      <c r="D102" s="49" t="s">
        <v>281</v>
      </c>
      <c r="E102" s="49" t="s">
        <v>282</v>
      </c>
      <c r="F102" s="49" t="s">
        <v>283</v>
      </c>
      <c r="G102" s="48">
        <v>3</v>
      </c>
      <c r="H102" s="48">
        <v>3</v>
      </c>
      <c r="I102" s="101">
        <v>1</v>
      </c>
      <c r="J102" s="48"/>
      <c r="K102" s="199">
        <f t="shared" si="1"/>
        <v>1030</v>
      </c>
    </row>
    <row r="103" spans="1:12" ht="15" thickBot="1" x14ac:dyDescent="0.4">
      <c r="A103" s="132">
        <v>101</v>
      </c>
      <c r="B103" s="370"/>
      <c r="C103" s="61" t="s">
        <v>606</v>
      </c>
      <c r="D103" s="42" t="s">
        <v>281</v>
      </c>
      <c r="E103" s="42" t="s">
        <v>284</v>
      </c>
      <c r="F103" s="42" t="s">
        <v>285</v>
      </c>
      <c r="G103" s="41">
        <v>6</v>
      </c>
      <c r="H103" s="41">
        <v>3</v>
      </c>
      <c r="I103" s="101"/>
      <c r="J103" s="48"/>
      <c r="K103" s="199">
        <f t="shared" si="1"/>
        <v>1326</v>
      </c>
    </row>
    <row r="104" spans="1:12" ht="15" thickBot="1" x14ac:dyDescent="0.4">
      <c r="A104" s="128">
        <v>102</v>
      </c>
      <c r="B104" s="370"/>
      <c r="C104" s="71" t="s">
        <v>547</v>
      </c>
      <c r="D104" s="72" t="s">
        <v>548</v>
      </c>
      <c r="E104" s="72" t="s">
        <v>549</v>
      </c>
      <c r="F104" s="72" t="s">
        <v>550</v>
      </c>
      <c r="G104" s="73">
        <v>2</v>
      </c>
      <c r="H104" s="73"/>
      <c r="I104" s="147"/>
      <c r="J104" s="124"/>
      <c r="K104" s="293">
        <f t="shared" si="1"/>
        <v>364</v>
      </c>
    </row>
    <row r="105" spans="1:12" ht="14.5" customHeight="1" thickBot="1" x14ac:dyDescent="0.4">
      <c r="A105" s="132">
        <v>103</v>
      </c>
      <c r="B105" s="366" t="s">
        <v>731</v>
      </c>
      <c r="C105" s="214" t="s">
        <v>174</v>
      </c>
      <c r="D105" s="215" t="s">
        <v>555</v>
      </c>
      <c r="E105" s="215" t="s">
        <v>174</v>
      </c>
      <c r="F105" s="215" t="s">
        <v>175</v>
      </c>
      <c r="G105" s="216">
        <v>9</v>
      </c>
      <c r="H105" s="216">
        <v>5</v>
      </c>
      <c r="I105" s="294"/>
      <c r="J105" s="216">
        <v>1</v>
      </c>
      <c r="K105" s="199">
        <f t="shared" si="1"/>
        <v>2028</v>
      </c>
    </row>
    <row r="106" spans="1:12" ht="14.5" customHeight="1" thickBot="1" x14ac:dyDescent="0.4">
      <c r="A106" s="132">
        <v>104</v>
      </c>
      <c r="B106" s="367"/>
      <c r="C106" s="204" t="s">
        <v>674</v>
      </c>
      <c r="D106" s="205" t="s">
        <v>222</v>
      </c>
      <c r="E106" s="205" t="s">
        <v>221</v>
      </c>
      <c r="F106" s="205" t="s">
        <v>223</v>
      </c>
      <c r="G106" s="206">
        <v>9</v>
      </c>
      <c r="H106" s="206">
        <v>7</v>
      </c>
      <c r="I106" s="207">
        <v>4</v>
      </c>
      <c r="J106" s="208">
        <v>1</v>
      </c>
      <c r="K106" s="199">
        <f t="shared" si="1"/>
        <v>3184</v>
      </c>
    </row>
    <row r="107" spans="1:12" s="43" customFormat="1" ht="29.5" thickBot="1" x14ac:dyDescent="0.4">
      <c r="A107" s="128">
        <v>105</v>
      </c>
      <c r="B107" s="367"/>
      <c r="C107" s="61" t="s">
        <v>202</v>
      </c>
      <c r="D107" s="42" t="s">
        <v>203</v>
      </c>
      <c r="E107" s="42" t="s">
        <v>202</v>
      </c>
      <c r="F107" s="42" t="s">
        <v>204</v>
      </c>
      <c r="G107" s="41">
        <f>6+1</f>
        <v>7</v>
      </c>
      <c r="H107" s="41">
        <v>3</v>
      </c>
      <c r="I107" s="101"/>
      <c r="J107" s="48"/>
      <c r="K107" s="199">
        <f t="shared" si="1"/>
        <v>1508</v>
      </c>
      <c r="L107"/>
    </row>
    <row r="108" spans="1:12" ht="14.5" customHeight="1" thickBot="1" x14ac:dyDescent="0.4">
      <c r="A108" s="128">
        <v>106</v>
      </c>
      <c r="B108" s="367"/>
      <c r="C108" s="61" t="s">
        <v>361</v>
      </c>
      <c r="D108" s="42" t="s">
        <v>622</v>
      </c>
      <c r="E108" s="42" t="s">
        <v>363</v>
      </c>
      <c r="F108" s="42" t="s">
        <v>364</v>
      </c>
      <c r="G108" s="41">
        <v>6</v>
      </c>
      <c r="H108" s="41">
        <v>4</v>
      </c>
      <c r="I108" s="101">
        <v>2</v>
      </c>
      <c r="J108" s="48"/>
      <c r="K108" s="199">
        <f t="shared" si="1"/>
        <v>1904</v>
      </c>
      <c r="L108" s="43"/>
    </row>
    <row r="109" spans="1:12" ht="14.5" customHeight="1" thickBot="1" x14ac:dyDescent="0.4">
      <c r="A109" s="128">
        <v>107</v>
      </c>
      <c r="B109" s="367"/>
      <c r="C109" s="60" t="s">
        <v>368</v>
      </c>
      <c r="D109" s="37" t="s">
        <v>369</v>
      </c>
      <c r="E109" s="37" t="s">
        <v>368</v>
      </c>
      <c r="F109" s="37" t="s">
        <v>370</v>
      </c>
      <c r="G109" s="36">
        <v>6</v>
      </c>
      <c r="H109" s="36"/>
      <c r="I109" s="145"/>
      <c r="J109" s="58"/>
      <c r="K109" s="199">
        <f t="shared" si="1"/>
        <v>1092</v>
      </c>
      <c r="L109" s="43"/>
    </row>
    <row r="110" spans="1:12" ht="14.5" customHeight="1" thickBot="1" x14ac:dyDescent="0.4">
      <c r="A110" s="132">
        <v>108</v>
      </c>
      <c r="B110" s="367"/>
      <c r="C110" s="60" t="s">
        <v>663</v>
      </c>
      <c r="D110" s="37" t="s">
        <v>664</v>
      </c>
      <c r="E110" s="60" t="s">
        <v>663</v>
      </c>
      <c r="F110" s="37" t="s">
        <v>665</v>
      </c>
      <c r="G110" s="36"/>
      <c r="H110" s="36"/>
      <c r="I110" s="101">
        <v>1</v>
      </c>
      <c r="J110" s="48"/>
      <c r="K110" s="199">
        <f t="shared" si="1"/>
        <v>250</v>
      </c>
      <c r="L110" s="43"/>
    </row>
    <row r="111" spans="1:12" ht="14.5" customHeight="1" thickBot="1" x14ac:dyDescent="0.4">
      <c r="A111" s="128">
        <v>109</v>
      </c>
      <c r="B111" s="367"/>
      <c r="C111" s="60" t="s">
        <v>492</v>
      </c>
      <c r="D111" s="37" t="s">
        <v>493</v>
      </c>
      <c r="E111" s="37" t="s">
        <v>492</v>
      </c>
      <c r="F111" s="37" t="s">
        <v>494</v>
      </c>
      <c r="G111" s="36">
        <v>6</v>
      </c>
      <c r="H111" s="36"/>
      <c r="I111" s="145"/>
      <c r="J111" s="58"/>
      <c r="K111" s="199">
        <f t="shared" si="1"/>
        <v>1092</v>
      </c>
      <c r="L111" s="43"/>
    </row>
    <row r="112" spans="1:12" ht="14.5" customHeight="1" thickBot="1" x14ac:dyDescent="0.4">
      <c r="A112" s="128">
        <v>110</v>
      </c>
      <c r="B112" s="367"/>
      <c r="C112" s="61" t="s">
        <v>495</v>
      </c>
      <c r="D112" s="42" t="s">
        <v>496</v>
      </c>
      <c r="E112" s="42" t="s">
        <v>495</v>
      </c>
      <c r="F112" s="42" t="s">
        <v>497</v>
      </c>
      <c r="G112" s="41">
        <v>10</v>
      </c>
      <c r="H112" s="41">
        <v>3</v>
      </c>
      <c r="I112" s="101">
        <v>18</v>
      </c>
      <c r="J112" s="48"/>
      <c r="K112" s="199">
        <f t="shared" si="1"/>
        <v>6554</v>
      </c>
      <c r="L112" s="43"/>
    </row>
    <row r="113" spans="1:12" ht="14.5" customHeight="1" thickBot="1" x14ac:dyDescent="0.4">
      <c r="A113" s="128">
        <v>111</v>
      </c>
      <c r="B113" s="367"/>
      <c r="C113" s="61" t="s">
        <v>620</v>
      </c>
      <c r="D113" s="42" t="s">
        <v>496</v>
      </c>
      <c r="E113" s="61" t="s">
        <v>620</v>
      </c>
      <c r="F113" s="42" t="s">
        <v>621</v>
      </c>
      <c r="G113" s="41"/>
      <c r="H113" s="41"/>
      <c r="I113" s="101">
        <v>1</v>
      </c>
      <c r="J113" s="48"/>
      <c r="K113" s="199">
        <f t="shared" si="1"/>
        <v>250</v>
      </c>
      <c r="L113" s="43"/>
    </row>
    <row r="114" spans="1:12" ht="14.5" customHeight="1" thickBot="1" x14ac:dyDescent="0.4">
      <c r="A114" s="132">
        <v>112</v>
      </c>
      <c r="B114" s="367"/>
      <c r="C114" s="61" t="s">
        <v>501</v>
      </c>
      <c r="D114" s="42" t="s">
        <v>496</v>
      </c>
      <c r="E114" s="42" t="s">
        <v>501</v>
      </c>
      <c r="F114" s="42" t="s">
        <v>502</v>
      </c>
      <c r="G114" s="41">
        <v>6</v>
      </c>
      <c r="H114" s="41">
        <v>4</v>
      </c>
      <c r="I114" s="101">
        <v>1</v>
      </c>
      <c r="J114" s="48"/>
      <c r="K114" s="199">
        <f t="shared" si="1"/>
        <v>1654</v>
      </c>
      <c r="L114" s="43"/>
    </row>
    <row r="115" spans="1:12" ht="14.5" customHeight="1" thickBot="1" x14ac:dyDescent="0.4">
      <c r="A115" s="128">
        <v>113</v>
      </c>
      <c r="B115" s="367"/>
      <c r="C115" s="60" t="s">
        <v>506</v>
      </c>
      <c r="D115" s="37" t="s">
        <v>507</v>
      </c>
      <c r="E115" s="37" t="s">
        <v>506</v>
      </c>
      <c r="F115" s="37" t="s">
        <v>508</v>
      </c>
      <c r="G115" s="36">
        <v>2</v>
      </c>
      <c r="H115" s="36"/>
      <c r="I115" s="145"/>
      <c r="J115" s="58"/>
      <c r="K115" s="199">
        <f t="shared" si="1"/>
        <v>364</v>
      </c>
      <c r="L115" s="43"/>
    </row>
    <row r="116" spans="1:12" ht="14.5" customHeight="1" thickBot="1" x14ac:dyDescent="0.4">
      <c r="A116" s="128">
        <v>114</v>
      </c>
      <c r="B116" s="367"/>
      <c r="C116" s="223" t="s">
        <v>581</v>
      </c>
      <c r="D116" s="206" t="s">
        <v>514</v>
      </c>
      <c r="E116" s="224" t="s">
        <v>581</v>
      </c>
      <c r="F116" s="224" t="s">
        <v>582</v>
      </c>
      <c r="G116" s="225"/>
      <c r="H116" s="225">
        <v>5</v>
      </c>
      <c r="I116" s="226">
        <v>2</v>
      </c>
      <c r="J116" s="227">
        <v>1</v>
      </c>
      <c r="K116" s="199">
        <f t="shared" si="1"/>
        <v>890</v>
      </c>
    </row>
    <row r="117" spans="1:12" ht="29.5" thickBot="1" x14ac:dyDescent="0.4">
      <c r="A117" s="128">
        <v>115</v>
      </c>
      <c r="B117" s="367"/>
      <c r="C117" s="60" t="s">
        <v>511</v>
      </c>
      <c r="D117" s="37" t="s">
        <v>203</v>
      </c>
      <c r="E117" s="37" t="s">
        <v>511</v>
      </c>
      <c r="F117" s="37" t="s">
        <v>512</v>
      </c>
      <c r="G117" s="36">
        <v>3</v>
      </c>
      <c r="H117" s="36">
        <v>3</v>
      </c>
      <c r="I117" s="101">
        <v>1</v>
      </c>
      <c r="J117" s="48"/>
      <c r="K117" s="199">
        <f t="shared" si="1"/>
        <v>1030</v>
      </c>
    </row>
    <row r="118" spans="1:12" ht="15" customHeight="1" thickBot="1" x14ac:dyDescent="0.4">
      <c r="A118" s="132">
        <v>116</v>
      </c>
      <c r="B118" s="368"/>
      <c r="C118" s="125" t="s">
        <v>583</v>
      </c>
      <c r="D118" s="54" t="s">
        <v>584</v>
      </c>
      <c r="E118" s="126" t="s">
        <v>583</v>
      </c>
      <c r="F118" s="126" t="s">
        <v>585</v>
      </c>
      <c r="G118" s="127"/>
      <c r="H118" s="127">
        <v>1</v>
      </c>
      <c r="I118" s="152"/>
      <c r="J118" s="295"/>
      <c r="K118" s="296">
        <f t="shared" si="1"/>
        <v>78</v>
      </c>
    </row>
    <row r="119" spans="1:12" ht="14.5" customHeight="1" thickBot="1" x14ac:dyDescent="0.4">
      <c r="A119" s="128">
        <v>117</v>
      </c>
      <c r="B119" s="366" t="s">
        <v>599</v>
      </c>
      <c r="C119" s="76" t="s">
        <v>188</v>
      </c>
      <c r="D119" s="65" t="s">
        <v>189</v>
      </c>
      <c r="E119" s="65" t="s">
        <v>188</v>
      </c>
      <c r="F119" s="65" t="s">
        <v>190</v>
      </c>
      <c r="G119" s="66">
        <v>3</v>
      </c>
      <c r="H119" s="66">
        <v>2</v>
      </c>
      <c r="I119" s="119"/>
      <c r="J119" s="66"/>
      <c r="K119" s="199">
        <f t="shared" si="1"/>
        <v>702</v>
      </c>
      <c r="L119" s="43"/>
    </row>
    <row r="120" spans="1:12" ht="14.5" customHeight="1" thickBot="1" x14ac:dyDescent="0.4">
      <c r="A120" s="128">
        <v>118</v>
      </c>
      <c r="B120" s="367"/>
      <c r="C120" s="70" t="s">
        <v>640</v>
      </c>
      <c r="D120" s="42" t="s">
        <v>192</v>
      </c>
      <c r="E120" s="70" t="s">
        <v>640</v>
      </c>
      <c r="F120" s="49" t="s">
        <v>641</v>
      </c>
      <c r="G120" s="48"/>
      <c r="H120" s="48"/>
      <c r="I120" s="117">
        <v>1</v>
      </c>
      <c r="J120" s="48"/>
      <c r="K120" s="199">
        <f t="shared" si="1"/>
        <v>250</v>
      </c>
      <c r="L120" s="43"/>
    </row>
    <row r="121" spans="1:12" ht="15" customHeight="1" thickBot="1" x14ac:dyDescent="0.4">
      <c r="A121" s="128">
        <v>119</v>
      </c>
      <c r="B121" s="367"/>
      <c r="C121" s="61" t="s">
        <v>191</v>
      </c>
      <c r="D121" s="42" t="s">
        <v>192</v>
      </c>
      <c r="E121" s="42" t="s">
        <v>191</v>
      </c>
      <c r="F121" s="42" t="s">
        <v>193</v>
      </c>
      <c r="G121" s="41">
        <v>1</v>
      </c>
      <c r="H121" s="41">
        <v>1</v>
      </c>
      <c r="I121" s="101"/>
      <c r="J121" s="48"/>
      <c r="K121" s="199">
        <f t="shared" si="1"/>
        <v>260</v>
      </c>
      <c r="L121" s="43"/>
    </row>
    <row r="122" spans="1:12" ht="15" customHeight="1" thickBot="1" x14ac:dyDescent="0.4">
      <c r="A122" s="132">
        <v>120</v>
      </c>
      <c r="B122" s="367"/>
      <c r="C122" s="60" t="s">
        <v>194</v>
      </c>
      <c r="D122" s="37" t="s">
        <v>195</v>
      </c>
      <c r="E122" s="37" t="s">
        <v>194</v>
      </c>
      <c r="F122" s="37" t="s">
        <v>196</v>
      </c>
      <c r="G122" s="36">
        <v>1</v>
      </c>
      <c r="H122" s="36"/>
      <c r="I122" s="145"/>
      <c r="J122" s="58"/>
      <c r="K122" s="199">
        <f t="shared" si="1"/>
        <v>182</v>
      </c>
      <c r="L122" s="43"/>
    </row>
    <row r="123" spans="1:12" ht="15" customHeight="1" thickBot="1" x14ac:dyDescent="0.4">
      <c r="A123" s="128">
        <v>121</v>
      </c>
      <c r="B123" s="367"/>
      <c r="C123" s="60" t="s">
        <v>260</v>
      </c>
      <c r="D123" s="37" t="s">
        <v>192</v>
      </c>
      <c r="E123" s="37" t="s">
        <v>260</v>
      </c>
      <c r="F123" s="37" t="s">
        <v>261</v>
      </c>
      <c r="G123" s="36">
        <v>1</v>
      </c>
      <c r="H123" s="36"/>
      <c r="I123" s="145"/>
      <c r="J123" s="58"/>
      <c r="K123" s="199">
        <f t="shared" si="1"/>
        <v>182</v>
      </c>
    </row>
    <row r="124" spans="1:12" ht="15" customHeight="1" thickBot="1" x14ac:dyDescent="0.4">
      <c r="A124" s="132">
        <v>122</v>
      </c>
      <c r="B124" s="367"/>
      <c r="C124" s="204" t="s">
        <v>276</v>
      </c>
      <c r="D124" s="205" t="s">
        <v>277</v>
      </c>
      <c r="E124" s="205" t="s">
        <v>278</v>
      </c>
      <c r="F124" s="205" t="s">
        <v>279</v>
      </c>
      <c r="G124" s="206">
        <v>4</v>
      </c>
      <c r="H124" s="206">
        <v>7</v>
      </c>
      <c r="I124" s="207"/>
      <c r="J124" s="208">
        <v>1</v>
      </c>
      <c r="K124" s="199">
        <f t="shared" si="1"/>
        <v>1274</v>
      </c>
    </row>
    <row r="125" spans="1:12" ht="15" customHeight="1" thickBot="1" x14ac:dyDescent="0.4">
      <c r="A125" s="132">
        <v>123</v>
      </c>
      <c r="B125" s="367"/>
      <c r="C125" s="61" t="s">
        <v>342</v>
      </c>
      <c r="D125" s="42" t="s">
        <v>192</v>
      </c>
      <c r="E125" s="42" t="s">
        <v>342</v>
      </c>
      <c r="F125" s="42" t="s">
        <v>343</v>
      </c>
      <c r="G125" s="41">
        <v>18</v>
      </c>
      <c r="H125" s="41">
        <v>12</v>
      </c>
      <c r="I125" s="101"/>
      <c r="J125" s="48"/>
      <c r="K125" s="199">
        <f t="shared" si="1"/>
        <v>4212</v>
      </c>
    </row>
    <row r="126" spans="1:12" ht="15" customHeight="1" thickBot="1" x14ac:dyDescent="0.4">
      <c r="A126" s="128">
        <v>124</v>
      </c>
      <c r="B126" s="367"/>
      <c r="C126" s="61" t="s">
        <v>628</v>
      </c>
      <c r="D126" s="42" t="s">
        <v>192</v>
      </c>
      <c r="E126" s="61" t="s">
        <v>628</v>
      </c>
      <c r="F126" s="42" t="s">
        <v>629</v>
      </c>
      <c r="G126" s="41"/>
      <c r="H126" s="41"/>
      <c r="I126" s="101">
        <v>1</v>
      </c>
      <c r="J126" s="48"/>
      <c r="K126" s="199">
        <f t="shared" si="1"/>
        <v>250</v>
      </c>
    </row>
    <row r="127" spans="1:12" ht="15" customHeight="1" thickBot="1" x14ac:dyDescent="0.4">
      <c r="A127" s="128">
        <v>125</v>
      </c>
      <c r="B127" s="367"/>
      <c r="C127" s="61" t="s">
        <v>630</v>
      </c>
      <c r="D127" s="42" t="s">
        <v>192</v>
      </c>
      <c r="E127" s="61" t="s">
        <v>630</v>
      </c>
      <c r="F127" s="42" t="s">
        <v>631</v>
      </c>
      <c r="G127" s="41"/>
      <c r="H127" s="41"/>
      <c r="I127" s="101">
        <v>1</v>
      </c>
      <c r="J127" s="48"/>
      <c r="K127" s="199">
        <f t="shared" si="1"/>
        <v>250</v>
      </c>
    </row>
    <row r="128" spans="1:12" ht="15" customHeight="1" thickBot="1" x14ac:dyDescent="0.4">
      <c r="A128" s="128">
        <v>126</v>
      </c>
      <c r="B128" s="367"/>
      <c r="C128" s="81" t="s">
        <v>559</v>
      </c>
      <c r="D128" s="41" t="s">
        <v>192</v>
      </c>
      <c r="E128" s="82" t="s">
        <v>559</v>
      </c>
      <c r="F128" s="83"/>
      <c r="G128" s="45"/>
      <c r="H128" s="45">
        <v>1</v>
      </c>
      <c r="I128" s="102"/>
      <c r="J128" s="201"/>
      <c r="K128" s="199">
        <f t="shared" si="1"/>
        <v>78</v>
      </c>
    </row>
    <row r="129" spans="1:12" ht="15" customHeight="1" thickBot="1" x14ac:dyDescent="0.4">
      <c r="A129" s="132">
        <v>127</v>
      </c>
      <c r="B129" s="367"/>
      <c r="C129" s="60" t="s">
        <v>348</v>
      </c>
      <c r="D129" s="37" t="s">
        <v>349</v>
      </c>
      <c r="E129" s="37" t="s">
        <v>348</v>
      </c>
      <c r="F129" s="37" t="s">
        <v>350</v>
      </c>
      <c r="G129" s="36">
        <v>1</v>
      </c>
      <c r="H129" s="36"/>
      <c r="I129" s="145"/>
      <c r="J129" s="58"/>
      <c r="K129" s="199">
        <f t="shared" si="1"/>
        <v>182</v>
      </c>
      <c r="L129" s="43"/>
    </row>
    <row r="130" spans="1:12" ht="15" customHeight="1" thickBot="1" x14ac:dyDescent="0.4">
      <c r="A130" s="128">
        <v>128</v>
      </c>
      <c r="B130" s="367"/>
      <c r="C130" s="60" t="s">
        <v>351</v>
      </c>
      <c r="D130" s="37" t="s">
        <v>192</v>
      </c>
      <c r="E130" s="37" t="s">
        <v>352</v>
      </c>
      <c r="F130" s="37" t="s">
        <v>353</v>
      </c>
      <c r="G130" s="36">
        <v>1</v>
      </c>
      <c r="H130" s="36"/>
      <c r="I130" s="145"/>
      <c r="J130" s="58"/>
      <c r="K130" s="199">
        <f t="shared" si="1"/>
        <v>182</v>
      </c>
      <c r="L130" s="43"/>
    </row>
    <row r="131" spans="1:12" ht="15" customHeight="1" thickBot="1" x14ac:dyDescent="0.4">
      <c r="A131" s="128">
        <v>129</v>
      </c>
      <c r="B131" s="367"/>
      <c r="C131" s="61" t="s">
        <v>354</v>
      </c>
      <c r="D131" s="42" t="s">
        <v>192</v>
      </c>
      <c r="E131" s="42" t="s">
        <v>354</v>
      </c>
      <c r="F131" s="42" t="s">
        <v>355</v>
      </c>
      <c r="G131" s="41">
        <v>7</v>
      </c>
      <c r="H131" s="41">
        <v>3</v>
      </c>
      <c r="I131" s="101"/>
      <c r="J131" s="48"/>
      <c r="K131" s="199">
        <f t="shared" si="1"/>
        <v>1508</v>
      </c>
      <c r="L131" s="43"/>
    </row>
    <row r="132" spans="1:12" ht="15" customHeight="1" thickBot="1" x14ac:dyDescent="0.4">
      <c r="A132" s="128">
        <v>130</v>
      </c>
      <c r="B132" s="367"/>
      <c r="C132" s="61" t="s">
        <v>356</v>
      </c>
      <c r="D132" s="42" t="s">
        <v>192</v>
      </c>
      <c r="E132" s="42" t="s">
        <v>356</v>
      </c>
      <c r="F132" s="42" t="s">
        <v>357</v>
      </c>
      <c r="G132" s="41">
        <v>3</v>
      </c>
      <c r="H132" s="41">
        <v>4</v>
      </c>
      <c r="I132" s="101"/>
      <c r="J132" s="48"/>
      <c r="K132" s="199">
        <f t="shared" ref="K132:K172" si="2">(G132*182)+(H132*78)+(I132*250)+(J132*0)</f>
        <v>858</v>
      </c>
      <c r="L132" s="43"/>
    </row>
    <row r="133" spans="1:12" ht="15" customHeight="1" thickBot="1" x14ac:dyDescent="0.4">
      <c r="A133" s="132">
        <v>131</v>
      </c>
      <c r="B133" s="367"/>
      <c r="C133" s="61" t="s">
        <v>632</v>
      </c>
      <c r="D133" s="42" t="s">
        <v>362</v>
      </c>
      <c r="E133" s="42" t="s">
        <v>632</v>
      </c>
      <c r="F133" s="42" t="s">
        <v>633</v>
      </c>
      <c r="G133" s="41"/>
      <c r="H133" s="41"/>
      <c r="I133" s="101">
        <v>1</v>
      </c>
      <c r="J133" s="48"/>
      <c r="K133" s="199">
        <f t="shared" si="2"/>
        <v>250</v>
      </c>
      <c r="L133" s="43"/>
    </row>
    <row r="134" spans="1:12" ht="15" customHeight="1" thickBot="1" x14ac:dyDescent="0.4">
      <c r="A134" s="128">
        <v>132</v>
      </c>
      <c r="B134" s="367"/>
      <c r="C134" s="60" t="s">
        <v>509</v>
      </c>
      <c r="D134" s="37" t="s">
        <v>192</v>
      </c>
      <c r="E134" s="37" t="s">
        <v>510</v>
      </c>
      <c r="F134" s="42" t="s">
        <v>635</v>
      </c>
      <c r="G134" s="36">
        <v>1</v>
      </c>
      <c r="H134" s="36"/>
      <c r="I134" s="101">
        <v>1</v>
      </c>
      <c r="J134" s="48"/>
      <c r="K134" s="199">
        <f t="shared" si="2"/>
        <v>432</v>
      </c>
      <c r="L134" s="43"/>
    </row>
    <row r="135" spans="1:12" ht="15" customHeight="1" thickBot="1" x14ac:dyDescent="0.4">
      <c r="A135" s="128">
        <v>133</v>
      </c>
      <c r="B135" s="367"/>
      <c r="C135" s="52" t="s">
        <v>556</v>
      </c>
      <c r="D135" s="41" t="s">
        <v>192</v>
      </c>
      <c r="E135" s="41" t="s">
        <v>556</v>
      </c>
      <c r="F135" s="45"/>
      <c r="G135" s="45"/>
      <c r="H135" s="45">
        <v>2</v>
      </c>
      <c r="I135" s="102"/>
      <c r="J135" s="201"/>
      <c r="K135" s="199">
        <f t="shared" si="2"/>
        <v>156</v>
      </c>
    </row>
    <row r="136" spans="1:12" ht="15" customHeight="1" thickBot="1" x14ac:dyDescent="0.4">
      <c r="A136" s="128">
        <v>134</v>
      </c>
      <c r="B136" s="367"/>
      <c r="C136" s="52" t="s">
        <v>636</v>
      </c>
      <c r="D136" s="41" t="s">
        <v>192</v>
      </c>
      <c r="E136" s="52" t="s">
        <v>636</v>
      </c>
      <c r="F136" s="45" t="s">
        <v>637</v>
      </c>
      <c r="G136" s="45"/>
      <c r="H136" s="45"/>
      <c r="I136" s="102">
        <v>2</v>
      </c>
      <c r="J136" s="201"/>
      <c r="K136" s="199">
        <f t="shared" si="2"/>
        <v>500</v>
      </c>
    </row>
    <row r="137" spans="1:12" ht="15" customHeight="1" thickBot="1" x14ac:dyDescent="0.4">
      <c r="A137" s="132">
        <v>135</v>
      </c>
      <c r="B137" s="367"/>
      <c r="C137" s="61" t="s">
        <v>516</v>
      </c>
      <c r="D137" s="42" t="s">
        <v>514</v>
      </c>
      <c r="E137" s="42" t="s">
        <v>517</v>
      </c>
      <c r="F137" s="42" t="s">
        <v>607</v>
      </c>
      <c r="G137" s="41">
        <v>2</v>
      </c>
      <c r="H137" s="41">
        <v>1</v>
      </c>
      <c r="I137" s="101"/>
      <c r="J137" s="48"/>
      <c r="K137" s="199">
        <f t="shared" si="2"/>
        <v>442</v>
      </c>
    </row>
    <row r="138" spans="1:12" ht="15" customHeight="1" thickBot="1" x14ac:dyDescent="0.4">
      <c r="A138" s="128">
        <v>136</v>
      </c>
      <c r="B138" s="367"/>
      <c r="C138" s="61" t="s">
        <v>638</v>
      </c>
      <c r="D138" s="42" t="s">
        <v>514</v>
      </c>
      <c r="E138" s="61" t="s">
        <v>638</v>
      </c>
      <c r="F138" s="42" t="s">
        <v>639</v>
      </c>
      <c r="G138" s="41"/>
      <c r="H138" s="41"/>
      <c r="I138" s="101">
        <v>1</v>
      </c>
      <c r="J138" s="48"/>
      <c r="K138" s="199">
        <f t="shared" si="2"/>
        <v>250</v>
      </c>
    </row>
    <row r="139" spans="1:12" ht="15" customHeight="1" thickBot="1" x14ac:dyDescent="0.4">
      <c r="A139" s="128">
        <v>137</v>
      </c>
      <c r="B139" s="367"/>
      <c r="C139" s="61" t="s">
        <v>526</v>
      </c>
      <c r="D139" s="42" t="s">
        <v>192</v>
      </c>
      <c r="E139" s="42" t="s">
        <v>527</v>
      </c>
      <c r="F139" s="42" t="s">
        <v>528</v>
      </c>
      <c r="G139" s="41">
        <v>3</v>
      </c>
      <c r="H139" s="41">
        <v>2</v>
      </c>
      <c r="I139" s="101"/>
      <c r="J139" s="48"/>
      <c r="K139" s="199">
        <f t="shared" si="2"/>
        <v>702</v>
      </c>
    </row>
    <row r="140" spans="1:12" ht="15" customHeight="1" thickBot="1" x14ac:dyDescent="0.4">
      <c r="A140" s="128">
        <v>138</v>
      </c>
      <c r="B140" s="367"/>
      <c r="C140" s="61" t="s">
        <v>529</v>
      </c>
      <c r="D140" s="42" t="s">
        <v>192</v>
      </c>
      <c r="E140" s="42" t="s">
        <v>529</v>
      </c>
      <c r="F140" s="42" t="s">
        <v>530</v>
      </c>
      <c r="G140" s="41">
        <v>1</v>
      </c>
      <c r="H140" s="41">
        <v>1</v>
      </c>
      <c r="I140" s="101"/>
      <c r="J140" s="48"/>
      <c r="K140" s="199">
        <f t="shared" si="2"/>
        <v>260</v>
      </c>
    </row>
    <row r="141" spans="1:12" ht="15" customHeight="1" thickBot="1" x14ac:dyDescent="0.4">
      <c r="A141" s="132">
        <v>139</v>
      </c>
      <c r="B141" s="367"/>
      <c r="C141" s="61" t="s">
        <v>531</v>
      </c>
      <c r="D141" s="42" t="s">
        <v>192</v>
      </c>
      <c r="E141" s="42" t="s">
        <v>531</v>
      </c>
      <c r="F141" s="42" t="s">
        <v>532</v>
      </c>
      <c r="G141" s="41">
        <v>8</v>
      </c>
      <c r="H141" s="41">
        <v>7</v>
      </c>
      <c r="I141" s="101">
        <v>2</v>
      </c>
      <c r="J141" s="48"/>
      <c r="K141" s="199">
        <f t="shared" si="2"/>
        <v>2502</v>
      </c>
    </row>
    <row r="142" spans="1:12" ht="15" customHeight="1" thickBot="1" x14ac:dyDescent="0.4">
      <c r="A142" s="128">
        <v>140</v>
      </c>
      <c r="B142" s="367"/>
      <c r="C142" s="52" t="s">
        <v>557</v>
      </c>
      <c r="D142" s="41" t="s">
        <v>192</v>
      </c>
      <c r="E142" s="41" t="s">
        <v>557</v>
      </c>
      <c r="F142" s="41" t="s">
        <v>558</v>
      </c>
      <c r="G142" s="45"/>
      <c r="H142" s="45">
        <v>1</v>
      </c>
      <c r="I142" s="102"/>
      <c r="J142" s="201"/>
      <c r="K142" s="199">
        <f t="shared" si="2"/>
        <v>78</v>
      </c>
    </row>
    <row r="143" spans="1:12" ht="15" customHeight="1" thickBot="1" x14ac:dyDescent="0.4">
      <c r="A143" s="132">
        <v>141</v>
      </c>
      <c r="B143" s="367"/>
      <c r="C143" s="61" t="s">
        <v>533</v>
      </c>
      <c r="D143" s="42" t="s">
        <v>192</v>
      </c>
      <c r="E143" s="42" t="s">
        <v>533</v>
      </c>
      <c r="F143" s="42" t="s">
        <v>534</v>
      </c>
      <c r="G143" s="41">
        <v>3</v>
      </c>
      <c r="H143" s="41">
        <v>3</v>
      </c>
      <c r="I143" s="101">
        <v>1</v>
      </c>
      <c r="J143" s="48"/>
      <c r="K143" s="199">
        <f t="shared" si="2"/>
        <v>1030</v>
      </c>
    </row>
    <row r="144" spans="1:12" ht="15" customHeight="1" thickBot="1" x14ac:dyDescent="0.4">
      <c r="A144" s="132">
        <v>142</v>
      </c>
      <c r="B144" s="367"/>
      <c r="C144" s="61" t="s">
        <v>535</v>
      </c>
      <c r="D144" s="42" t="s">
        <v>192</v>
      </c>
      <c r="E144" s="42" t="s">
        <v>535</v>
      </c>
      <c r="F144" s="42" t="s">
        <v>634</v>
      </c>
      <c r="G144" s="41">
        <v>3</v>
      </c>
      <c r="H144" s="41">
        <v>2</v>
      </c>
      <c r="I144" s="101">
        <v>1</v>
      </c>
      <c r="J144" s="48"/>
      <c r="K144" s="199">
        <f t="shared" si="2"/>
        <v>952</v>
      </c>
    </row>
    <row r="145" spans="1:12" ht="15" customHeight="1" thickBot="1" x14ac:dyDescent="0.4">
      <c r="A145" s="128">
        <v>143</v>
      </c>
      <c r="B145" s="367"/>
      <c r="C145" s="74" t="s">
        <v>536</v>
      </c>
      <c r="D145" s="55" t="s">
        <v>537</v>
      </c>
      <c r="E145" s="55" t="s">
        <v>536</v>
      </c>
      <c r="F145" s="55" t="s">
        <v>538</v>
      </c>
      <c r="G145" s="56">
        <v>1</v>
      </c>
      <c r="H145" s="56">
        <v>1</v>
      </c>
      <c r="I145" s="149"/>
      <c r="J145" s="202"/>
      <c r="K145" s="199">
        <f t="shared" si="2"/>
        <v>260</v>
      </c>
      <c r="L145" s="43"/>
    </row>
    <row r="146" spans="1:12" ht="15" customHeight="1" thickBot="1" x14ac:dyDescent="0.4">
      <c r="A146" s="128">
        <v>144</v>
      </c>
      <c r="B146" s="367"/>
      <c r="C146" s="61" t="s">
        <v>539</v>
      </c>
      <c r="D146" s="42" t="s">
        <v>540</v>
      </c>
      <c r="E146" s="42" t="s">
        <v>539</v>
      </c>
      <c r="F146" s="42" t="s">
        <v>541</v>
      </c>
      <c r="G146" s="41">
        <v>3</v>
      </c>
      <c r="H146" s="41">
        <v>2</v>
      </c>
      <c r="I146" s="101">
        <v>1</v>
      </c>
      <c r="J146" s="48"/>
      <c r="K146" s="199">
        <f t="shared" si="2"/>
        <v>952</v>
      </c>
      <c r="L146" s="43"/>
    </row>
    <row r="147" spans="1:12" ht="15" thickBot="1" x14ac:dyDescent="0.4">
      <c r="A147" s="128">
        <v>145</v>
      </c>
      <c r="B147" s="368"/>
      <c r="C147" s="74" t="s">
        <v>642</v>
      </c>
      <c r="D147" s="55" t="s">
        <v>643</v>
      </c>
      <c r="E147" s="55" t="s">
        <v>642</v>
      </c>
      <c r="F147" s="55" t="s">
        <v>644</v>
      </c>
      <c r="G147" s="56"/>
      <c r="H147" s="56"/>
      <c r="I147" s="149">
        <v>1</v>
      </c>
      <c r="J147" s="202"/>
      <c r="K147" s="199">
        <f t="shared" si="2"/>
        <v>250</v>
      </c>
      <c r="L147" s="43"/>
    </row>
    <row r="148" spans="1:12" ht="15" thickBot="1" x14ac:dyDescent="0.4">
      <c r="A148" s="132">
        <v>146</v>
      </c>
      <c r="B148" s="366" t="s">
        <v>601</v>
      </c>
      <c r="C148" s="76" t="s">
        <v>218</v>
      </c>
      <c r="D148" s="65" t="s">
        <v>219</v>
      </c>
      <c r="E148" s="65" t="s">
        <v>218</v>
      </c>
      <c r="F148" s="65" t="s">
        <v>220</v>
      </c>
      <c r="G148" s="66">
        <v>12</v>
      </c>
      <c r="H148" s="66">
        <v>14</v>
      </c>
      <c r="I148" s="119"/>
      <c r="J148" s="66"/>
      <c r="K148" s="199">
        <f t="shared" si="2"/>
        <v>3276</v>
      </c>
    </row>
    <row r="149" spans="1:12" ht="15" thickBot="1" x14ac:dyDescent="0.4">
      <c r="A149" s="132">
        <v>147</v>
      </c>
      <c r="B149" s="367"/>
      <c r="C149" s="221" t="s">
        <v>740</v>
      </c>
      <c r="D149" s="222" t="s">
        <v>219</v>
      </c>
      <c r="E149" s="222" t="s">
        <v>740</v>
      </c>
      <c r="F149" s="222" t="s">
        <v>741</v>
      </c>
      <c r="G149" s="208"/>
      <c r="H149" s="208"/>
      <c r="I149" s="217"/>
      <c r="J149" s="208">
        <v>2</v>
      </c>
      <c r="K149" s="199">
        <f t="shared" si="2"/>
        <v>0</v>
      </c>
    </row>
    <row r="150" spans="1:12" ht="15" thickBot="1" x14ac:dyDescent="0.4">
      <c r="A150" s="132">
        <v>148</v>
      </c>
      <c r="B150" s="367"/>
      <c r="C150" s="60" t="s">
        <v>344</v>
      </c>
      <c r="D150" s="37" t="s">
        <v>219</v>
      </c>
      <c r="E150" s="37" t="s">
        <v>344</v>
      </c>
      <c r="F150" s="37" t="s">
        <v>345</v>
      </c>
      <c r="G150" s="36">
        <v>8</v>
      </c>
      <c r="H150" s="36"/>
      <c r="I150" s="145"/>
      <c r="J150" s="58"/>
      <c r="K150" s="199">
        <f t="shared" si="2"/>
        <v>1456</v>
      </c>
    </row>
    <row r="151" spans="1:12" s="43" customFormat="1" ht="15" thickBot="1" x14ac:dyDescent="0.4">
      <c r="A151" s="128">
        <v>149</v>
      </c>
      <c r="B151" s="367"/>
      <c r="C151" s="61" t="s">
        <v>346</v>
      </c>
      <c r="D151" s="42" t="s">
        <v>219</v>
      </c>
      <c r="E151" s="42" t="s">
        <v>346</v>
      </c>
      <c r="F151" s="42" t="s">
        <v>347</v>
      </c>
      <c r="G151" s="41">
        <v>9</v>
      </c>
      <c r="H151" s="41">
        <v>4</v>
      </c>
      <c r="I151" s="101">
        <v>2</v>
      </c>
      <c r="J151" s="48"/>
      <c r="K151" s="199">
        <f t="shared" si="2"/>
        <v>2450</v>
      </c>
    </row>
    <row r="152" spans="1:12" s="43" customFormat="1" ht="15" thickBot="1" x14ac:dyDescent="0.4">
      <c r="A152" s="132">
        <v>150</v>
      </c>
      <c r="B152" s="367"/>
      <c r="C152" s="61" t="s">
        <v>675</v>
      </c>
      <c r="D152" s="42" t="s">
        <v>499</v>
      </c>
      <c r="E152" s="61" t="s">
        <v>675</v>
      </c>
      <c r="F152" s="42" t="s">
        <v>676</v>
      </c>
      <c r="G152" s="41"/>
      <c r="H152" s="41"/>
      <c r="I152" s="101">
        <v>1</v>
      </c>
      <c r="J152" s="48"/>
      <c r="K152" s="199">
        <f t="shared" si="2"/>
        <v>250</v>
      </c>
    </row>
    <row r="153" spans="1:12" ht="15" thickBot="1" x14ac:dyDescent="0.4">
      <c r="A153" s="132">
        <v>151</v>
      </c>
      <c r="B153" s="367"/>
      <c r="C153" s="61" t="s">
        <v>498</v>
      </c>
      <c r="D153" s="42" t="s">
        <v>499</v>
      </c>
      <c r="E153" s="42" t="s">
        <v>498</v>
      </c>
      <c r="F153" s="42" t="s">
        <v>500</v>
      </c>
      <c r="G153" s="41">
        <v>6</v>
      </c>
      <c r="H153" s="41">
        <v>11</v>
      </c>
      <c r="I153" s="101">
        <v>4</v>
      </c>
      <c r="J153" s="48"/>
      <c r="K153" s="199">
        <f t="shared" si="2"/>
        <v>2950</v>
      </c>
      <c r="L153" s="43"/>
    </row>
    <row r="154" spans="1:12" ht="15" thickBot="1" x14ac:dyDescent="0.4">
      <c r="A154" s="128">
        <v>152</v>
      </c>
      <c r="B154" s="367"/>
      <c r="C154" s="204" t="s">
        <v>503</v>
      </c>
      <c r="D154" s="205" t="s">
        <v>504</v>
      </c>
      <c r="E154" s="205" t="s">
        <v>503</v>
      </c>
      <c r="F154" s="205" t="s">
        <v>505</v>
      </c>
      <c r="G154" s="206">
        <v>7</v>
      </c>
      <c r="H154" s="206">
        <v>4</v>
      </c>
      <c r="I154" s="207"/>
      <c r="J154" s="208">
        <v>1</v>
      </c>
      <c r="K154" s="199">
        <f t="shared" si="2"/>
        <v>1586</v>
      </c>
      <c r="L154" s="90"/>
    </row>
    <row r="155" spans="1:12" ht="15" thickBot="1" x14ac:dyDescent="0.4">
      <c r="A155" s="128">
        <v>153</v>
      </c>
      <c r="B155" s="367"/>
      <c r="C155" s="60" t="s">
        <v>513</v>
      </c>
      <c r="D155" s="37" t="s">
        <v>514</v>
      </c>
      <c r="E155" s="37" t="s">
        <v>513</v>
      </c>
      <c r="F155" s="37" t="s">
        <v>515</v>
      </c>
      <c r="G155" s="36">
        <v>1</v>
      </c>
      <c r="H155" s="36"/>
      <c r="I155" s="145"/>
      <c r="J155" s="58"/>
      <c r="K155" s="199">
        <f t="shared" si="2"/>
        <v>182</v>
      </c>
    </row>
    <row r="156" spans="1:12" ht="15" thickBot="1" x14ac:dyDescent="0.4">
      <c r="A156" s="128">
        <v>154</v>
      </c>
      <c r="B156" s="368"/>
      <c r="C156" s="62" t="s">
        <v>518</v>
      </c>
      <c r="D156" s="63" t="s">
        <v>519</v>
      </c>
      <c r="E156" s="63" t="s">
        <v>518</v>
      </c>
      <c r="F156" s="63" t="s">
        <v>520</v>
      </c>
      <c r="G156" s="64">
        <v>2</v>
      </c>
      <c r="H156" s="64"/>
      <c r="I156" s="151"/>
      <c r="J156" s="265"/>
      <c r="K156" s="199">
        <f t="shared" si="2"/>
        <v>364</v>
      </c>
    </row>
    <row r="157" spans="1:12" ht="15" thickBot="1" x14ac:dyDescent="0.4">
      <c r="A157" s="132">
        <v>155</v>
      </c>
      <c r="B157" s="362" t="s">
        <v>600</v>
      </c>
      <c r="C157" s="266" t="s">
        <v>210</v>
      </c>
      <c r="D157" s="50" t="s">
        <v>211</v>
      </c>
      <c r="E157" s="267" t="s">
        <v>210</v>
      </c>
      <c r="F157" s="50" t="s">
        <v>212</v>
      </c>
      <c r="G157" s="51">
        <v>4</v>
      </c>
      <c r="H157" s="51"/>
      <c r="I157" s="264"/>
      <c r="J157" s="51"/>
      <c r="K157" s="199">
        <f t="shared" si="2"/>
        <v>728</v>
      </c>
    </row>
    <row r="158" spans="1:12" ht="15" thickBot="1" x14ac:dyDescent="0.4">
      <c r="A158" s="128">
        <v>156</v>
      </c>
      <c r="B158" s="362"/>
      <c r="C158" s="136" t="s">
        <v>623</v>
      </c>
      <c r="D158" s="37" t="s">
        <v>211</v>
      </c>
      <c r="E158" s="137" t="s">
        <v>623</v>
      </c>
      <c r="F158" s="123" t="s">
        <v>624</v>
      </c>
      <c r="G158" s="124"/>
      <c r="H158" s="124"/>
      <c r="I158" s="101">
        <v>1</v>
      </c>
      <c r="J158" s="48"/>
      <c r="K158" s="199">
        <f t="shared" si="2"/>
        <v>250</v>
      </c>
    </row>
    <row r="159" spans="1:12" ht="21.5" customHeight="1" thickBot="1" x14ac:dyDescent="0.4">
      <c r="A159" s="128">
        <v>157</v>
      </c>
      <c r="B159" s="363"/>
      <c r="C159" s="138" t="s">
        <v>213</v>
      </c>
      <c r="D159" s="53" t="s">
        <v>211</v>
      </c>
      <c r="E159" s="135" t="s">
        <v>214</v>
      </c>
      <c r="F159" s="53" t="s">
        <v>215</v>
      </c>
      <c r="G159" s="54">
        <v>9</v>
      </c>
      <c r="H159" s="54">
        <v>8</v>
      </c>
      <c r="I159" s="148">
        <v>2</v>
      </c>
      <c r="J159" s="79"/>
      <c r="K159" s="199">
        <f t="shared" si="2"/>
        <v>2762</v>
      </c>
    </row>
    <row r="160" spans="1:12" ht="14.5" customHeight="1" thickBot="1" x14ac:dyDescent="0.4">
      <c r="A160" s="128">
        <v>158</v>
      </c>
      <c r="B160" s="362" t="s">
        <v>603</v>
      </c>
      <c r="C160" s="139" t="s">
        <v>205</v>
      </c>
      <c r="D160" s="59" t="s">
        <v>206</v>
      </c>
      <c r="E160" s="50" t="s">
        <v>205</v>
      </c>
      <c r="F160" s="50" t="s">
        <v>207</v>
      </c>
      <c r="G160" s="51">
        <v>2</v>
      </c>
      <c r="H160" s="51"/>
      <c r="I160" s="264"/>
      <c r="J160" s="51"/>
      <c r="K160" s="199">
        <f t="shared" si="2"/>
        <v>364</v>
      </c>
      <c r="L160" s="80"/>
    </row>
    <row r="161" spans="1:12" ht="14.5" customHeight="1" thickBot="1" x14ac:dyDescent="0.4">
      <c r="A161" s="132">
        <v>159</v>
      </c>
      <c r="B161" s="363"/>
      <c r="C161" s="263" t="s">
        <v>208</v>
      </c>
      <c r="D161" s="62" t="s">
        <v>206</v>
      </c>
      <c r="E161" s="63" t="s">
        <v>208</v>
      </c>
      <c r="F161" s="63" t="s">
        <v>209</v>
      </c>
      <c r="G161" s="64">
        <v>2</v>
      </c>
      <c r="H161" s="64"/>
      <c r="I161" s="151"/>
      <c r="J161" s="265"/>
      <c r="K161" s="199">
        <f t="shared" si="2"/>
        <v>364</v>
      </c>
      <c r="L161" s="80"/>
    </row>
    <row r="162" spans="1:12" ht="19" thickBot="1" x14ac:dyDescent="0.4">
      <c r="A162" s="128">
        <v>160</v>
      </c>
      <c r="B162" s="129" t="s">
        <v>591</v>
      </c>
      <c r="C162" s="235" t="s">
        <v>216</v>
      </c>
      <c r="D162" s="236" t="s">
        <v>211</v>
      </c>
      <c r="E162" s="236" t="s">
        <v>216</v>
      </c>
      <c r="F162" s="236" t="s">
        <v>217</v>
      </c>
      <c r="G162" s="85">
        <v>3</v>
      </c>
      <c r="H162" s="85">
        <v>2</v>
      </c>
      <c r="I162" s="231"/>
      <c r="J162" s="85"/>
      <c r="K162" s="199">
        <f t="shared" si="2"/>
        <v>702</v>
      </c>
    </row>
    <row r="163" spans="1:12" ht="19" thickBot="1" x14ac:dyDescent="0.4">
      <c r="A163" s="128">
        <v>161</v>
      </c>
      <c r="B163" s="143" t="s">
        <v>592</v>
      </c>
      <c r="C163" s="237" t="s">
        <v>322</v>
      </c>
      <c r="D163" s="238" t="s">
        <v>323</v>
      </c>
      <c r="E163" s="238" t="s">
        <v>324</v>
      </c>
      <c r="F163" s="238" t="s">
        <v>325</v>
      </c>
      <c r="G163" s="239">
        <v>1</v>
      </c>
      <c r="H163" s="239"/>
      <c r="I163" s="240"/>
      <c r="J163" s="239"/>
      <c r="K163" s="199">
        <f t="shared" si="2"/>
        <v>182</v>
      </c>
    </row>
    <row r="164" spans="1:12" ht="19" thickBot="1" x14ac:dyDescent="0.4">
      <c r="A164" s="128">
        <v>162</v>
      </c>
      <c r="B164" s="130" t="s">
        <v>593</v>
      </c>
      <c r="C164" s="244" t="s">
        <v>645</v>
      </c>
      <c r="D164" s="245" t="s">
        <v>358</v>
      </c>
      <c r="E164" s="245" t="s">
        <v>359</v>
      </c>
      <c r="F164" s="245" t="s">
        <v>360</v>
      </c>
      <c r="G164" s="246">
        <v>9</v>
      </c>
      <c r="H164" s="246">
        <v>4</v>
      </c>
      <c r="I164" s="247">
        <v>3</v>
      </c>
      <c r="J164" s="232">
        <v>2</v>
      </c>
      <c r="K164" s="199">
        <f t="shared" si="2"/>
        <v>2700</v>
      </c>
    </row>
    <row r="165" spans="1:12" ht="19" thickBot="1" x14ac:dyDescent="0.4">
      <c r="A165" s="132">
        <v>163</v>
      </c>
      <c r="B165" s="98" t="s">
        <v>594</v>
      </c>
      <c r="C165" s="95" t="s">
        <v>365</v>
      </c>
      <c r="D165" s="96" t="s">
        <v>366</v>
      </c>
      <c r="E165" s="96" t="s">
        <v>365</v>
      </c>
      <c r="F165" s="96" t="s">
        <v>367</v>
      </c>
      <c r="G165" s="93">
        <v>3</v>
      </c>
      <c r="H165" s="93">
        <v>1</v>
      </c>
      <c r="I165" s="121"/>
      <c r="J165" s="85"/>
      <c r="K165" s="199">
        <f t="shared" si="2"/>
        <v>624</v>
      </c>
    </row>
    <row r="166" spans="1:12" ht="19" thickBot="1" x14ac:dyDescent="0.4">
      <c r="A166" s="128">
        <v>164</v>
      </c>
      <c r="B166" s="130" t="s">
        <v>602</v>
      </c>
      <c r="C166" s="95" t="s">
        <v>542</v>
      </c>
      <c r="D166" s="96" t="s">
        <v>540</v>
      </c>
      <c r="E166" s="96" t="s">
        <v>542</v>
      </c>
      <c r="F166" s="96" t="s">
        <v>543</v>
      </c>
      <c r="G166" s="93">
        <v>3</v>
      </c>
      <c r="H166" s="93">
        <v>2</v>
      </c>
      <c r="I166" s="121">
        <v>1</v>
      </c>
      <c r="J166" s="85"/>
      <c r="K166" s="199">
        <f t="shared" si="2"/>
        <v>952</v>
      </c>
    </row>
    <row r="167" spans="1:12" ht="15" customHeight="1" thickBot="1" x14ac:dyDescent="0.4">
      <c r="A167" s="128">
        <v>165</v>
      </c>
      <c r="B167" s="359" t="s">
        <v>608</v>
      </c>
      <c r="C167" s="257" t="s">
        <v>544</v>
      </c>
      <c r="D167" s="261" t="s">
        <v>545</v>
      </c>
      <c r="E167" s="259" t="s">
        <v>544</v>
      </c>
      <c r="F167" s="65" t="s">
        <v>546</v>
      </c>
      <c r="G167" s="66">
        <v>2</v>
      </c>
      <c r="H167" s="66">
        <v>1</v>
      </c>
      <c r="I167" s="119"/>
      <c r="J167" s="66"/>
      <c r="K167" s="199">
        <f t="shared" si="2"/>
        <v>442</v>
      </c>
    </row>
    <row r="168" spans="1:12" ht="15" customHeight="1" thickBot="1" x14ac:dyDescent="0.4">
      <c r="A168" s="128">
        <v>166</v>
      </c>
      <c r="B168" s="360"/>
      <c r="C168" s="258" t="s">
        <v>670</v>
      </c>
      <c r="D168" s="262" t="s">
        <v>545</v>
      </c>
      <c r="E168" s="260" t="s">
        <v>670</v>
      </c>
      <c r="F168" s="55" t="s">
        <v>671</v>
      </c>
      <c r="G168" s="56"/>
      <c r="H168" s="56"/>
      <c r="I168" s="149">
        <v>1</v>
      </c>
      <c r="J168" s="202"/>
      <c r="K168" s="199">
        <f t="shared" si="2"/>
        <v>250</v>
      </c>
    </row>
    <row r="169" spans="1:12" ht="19" thickBot="1" x14ac:dyDescent="0.4">
      <c r="A169" s="132">
        <v>167</v>
      </c>
      <c r="B169" s="130" t="s">
        <v>666</v>
      </c>
      <c r="C169" s="228" t="s">
        <v>667</v>
      </c>
      <c r="D169" s="85" t="s">
        <v>668</v>
      </c>
      <c r="E169" s="228" t="s">
        <v>667</v>
      </c>
      <c r="F169" s="85" t="s">
        <v>669</v>
      </c>
      <c r="G169" s="229"/>
      <c r="H169" s="229"/>
      <c r="I169" s="230">
        <v>1</v>
      </c>
      <c r="J169" s="91"/>
      <c r="K169" s="199">
        <f t="shared" si="2"/>
        <v>250</v>
      </c>
    </row>
    <row r="170" spans="1:12" ht="15" thickBot="1" x14ac:dyDescent="0.4">
      <c r="A170" s="132">
        <v>168</v>
      </c>
      <c r="B170" s="357"/>
      <c r="C170" s="251" t="s">
        <v>732</v>
      </c>
      <c r="D170" s="255" t="s">
        <v>734</v>
      </c>
      <c r="E170" s="253" t="s">
        <v>732</v>
      </c>
      <c r="F170" s="216" t="s">
        <v>735</v>
      </c>
      <c r="G170" s="233"/>
      <c r="H170" s="233"/>
      <c r="I170" s="233"/>
      <c r="J170" s="233">
        <v>1</v>
      </c>
      <c r="K170" s="199">
        <f t="shared" si="2"/>
        <v>0</v>
      </c>
    </row>
    <row r="171" spans="1:12" ht="15" thickBot="1" x14ac:dyDescent="0.4">
      <c r="A171" s="134">
        <v>169</v>
      </c>
      <c r="B171" s="358"/>
      <c r="C171" s="252" t="s">
        <v>733</v>
      </c>
      <c r="D171" s="256" t="s">
        <v>734</v>
      </c>
      <c r="E171" s="254" t="s">
        <v>733</v>
      </c>
      <c r="F171" s="241" t="s">
        <v>736</v>
      </c>
      <c r="G171" s="234"/>
      <c r="H171" s="234"/>
      <c r="I171" s="234"/>
      <c r="J171" s="234">
        <v>1</v>
      </c>
      <c r="K171" s="199">
        <f t="shared" si="2"/>
        <v>0</v>
      </c>
    </row>
    <row r="172" spans="1:12" ht="15" thickBot="1" x14ac:dyDescent="0.4">
      <c r="A172" s="133">
        <v>170</v>
      </c>
      <c r="B172" s="242"/>
      <c r="C172" s="243" t="s">
        <v>737</v>
      </c>
      <c r="D172" s="248" t="s">
        <v>738</v>
      </c>
      <c r="E172" s="249" t="s">
        <v>737</v>
      </c>
      <c r="F172" s="250" t="s">
        <v>739</v>
      </c>
      <c r="G172" s="250"/>
      <c r="H172" s="250"/>
      <c r="I172" s="250"/>
      <c r="J172" s="250">
        <v>1</v>
      </c>
      <c r="K172" s="199">
        <f t="shared" si="2"/>
        <v>0</v>
      </c>
    </row>
  </sheetData>
  <mergeCells count="13">
    <mergeCell ref="B170:B171"/>
    <mergeCell ref="B167:B168"/>
    <mergeCell ref="A1:K1"/>
    <mergeCell ref="B62:B66"/>
    <mergeCell ref="B94:B99"/>
    <mergeCell ref="B3:B61"/>
    <mergeCell ref="B67:B93"/>
    <mergeCell ref="B100:B104"/>
    <mergeCell ref="B160:B161"/>
    <mergeCell ref="B105:B118"/>
    <mergeCell ref="B148:B156"/>
    <mergeCell ref="B157:B159"/>
    <mergeCell ref="B119:B1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Aux</vt:lpstr>
      <vt:lpstr>Metal Connectors</vt:lpstr>
      <vt:lpstr>Mechanical </vt:lpstr>
      <vt:lpstr>Assemblies</vt:lpstr>
      <vt:lpstr>SMD Components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usmanawaisi902@gmail.com</dc:creator>
  <cp:lastModifiedBy>Ibtisam Farooq</cp:lastModifiedBy>
  <dcterms:created xsi:type="dcterms:W3CDTF">2026-06-27T09:45:24Z</dcterms:created>
  <dcterms:modified xsi:type="dcterms:W3CDTF">2026-07-25T11:16:54Z</dcterms:modified>
</cp:coreProperties>
</file>